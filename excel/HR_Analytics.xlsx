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 Project\4. HR Analytics\"/>
    </mc:Choice>
  </mc:AlternateContent>
  <xr:revisionPtr revIDLastSave="0" documentId="13_ncr:1_{2BA73E1C-C932-4982-BE09-AB5E60A5B3AD}" xr6:coauthVersionLast="47" xr6:coauthVersionMax="47" xr10:uidLastSave="{00000000-0000-0000-0000-000000000000}"/>
  <bookViews>
    <workbookView xWindow="-120" yWindow="-120" windowWidth="38640" windowHeight="21120" tabRatio="918" xr2:uid="{3C081314-B241-4E04-8CB0-092EE9E9D3F9}"/>
  </bookViews>
  <sheets>
    <sheet name="Attrition By Department" sheetId="3" r:id="rId1"/>
    <sheet name="Attrition By Job Role" sheetId="4" r:id="rId2"/>
    <sheet name="Attrition By Age Group" sheetId="5" r:id="rId3"/>
    <sheet name="Attrition By Income Group" sheetId="6" r:id="rId4"/>
    <sheet name="Attrition vs Overtime" sheetId="7" r:id="rId5"/>
    <sheet name="Attrition vs Job Satisfication" sheetId="8" r:id="rId6"/>
    <sheet name="Attrition vs Work-Life Balance" sheetId="9" r:id="rId7"/>
    <sheet name="Attrition Vs Years at Company" sheetId="11" r:id="rId8"/>
    <sheet name="Age + Income" sheetId="12" r:id="rId9"/>
    <sheet name="Age+Tenure" sheetId="14" r:id="rId10"/>
    <sheet name="Income + Overtime" sheetId="16" r:id="rId11"/>
    <sheet name="Income + WLB" sheetId="17" r:id="rId12"/>
    <sheet name="HR_Data" sheetId="2" r:id="rId13"/>
  </sheets>
  <definedNames>
    <definedName name="_xlcn.WorksheetConnection_HR_Analytics.xlsxHR_Data" hidden="1">HR_Data[]</definedName>
    <definedName name="ExternalData_1" localSheetId="12" hidden="1">HR_Data!$A$1:$AI$1471</definedName>
  </definedNames>
  <calcPr calcId="181029"/>
  <pivotCaches>
    <pivotCache cacheId="0" r:id="rId14"/>
    <pivotCache cacheId="1" r:id="rId15"/>
    <pivotCache cacheId="2" r:id="rId16"/>
    <pivotCache cacheId="3" r:id="rId1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R_Data" name="HR_Data" connection="WorksheetConnection_HR_Analytics.xlsx!HR_Data"/>
        </x15:modelTables>
      </x15:dataModel>
    </ext>
  </extLst>
</workbook>
</file>

<file path=xl/calcChain.xml><?xml version="1.0" encoding="utf-8"?>
<calcChain xmlns="http://schemas.openxmlformats.org/spreadsheetml/2006/main">
  <c r="AL2" i="2" l="1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AL478" i="2"/>
  <c r="AL479" i="2"/>
  <c r="AL480" i="2"/>
  <c r="AL481" i="2"/>
  <c r="AL482" i="2"/>
  <c r="AL483" i="2"/>
  <c r="AL484" i="2"/>
  <c r="AL485" i="2"/>
  <c r="AL486" i="2"/>
  <c r="AL487" i="2"/>
  <c r="AL488" i="2"/>
  <c r="AL489" i="2"/>
  <c r="AL490" i="2"/>
  <c r="AL491" i="2"/>
  <c r="AL492" i="2"/>
  <c r="AL493" i="2"/>
  <c r="AL494" i="2"/>
  <c r="AL495" i="2"/>
  <c r="AL496" i="2"/>
  <c r="AL497" i="2"/>
  <c r="AL498" i="2"/>
  <c r="AL499" i="2"/>
  <c r="AL500" i="2"/>
  <c r="AL501" i="2"/>
  <c r="AL502" i="2"/>
  <c r="AL503" i="2"/>
  <c r="AL504" i="2"/>
  <c r="AL505" i="2"/>
  <c r="AL506" i="2"/>
  <c r="AL507" i="2"/>
  <c r="AL508" i="2"/>
  <c r="AL509" i="2"/>
  <c r="AL510" i="2"/>
  <c r="AL511" i="2"/>
  <c r="AL512" i="2"/>
  <c r="AL513" i="2"/>
  <c r="AL514" i="2"/>
  <c r="AL515" i="2"/>
  <c r="AL516" i="2"/>
  <c r="AL517" i="2"/>
  <c r="AL518" i="2"/>
  <c r="AL519" i="2"/>
  <c r="AL520" i="2"/>
  <c r="AL521" i="2"/>
  <c r="AL522" i="2"/>
  <c r="AL523" i="2"/>
  <c r="AL524" i="2"/>
  <c r="AL525" i="2"/>
  <c r="AL526" i="2"/>
  <c r="AL527" i="2"/>
  <c r="AL528" i="2"/>
  <c r="AL529" i="2"/>
  <c r="AL530" i="2"/>
  <c r="AL531" i="2"/>
  <c r="AL532" i="2"/>
  <c r="AL533" i="2"/>
  <c r="AL534" i="2"/>
  <c r="AL535" i="2"/>
  <c r="AL536" i="2"/>
  <c r="AL537" i="2"/>
  <c r="AL538" i="2"/>
  <c r="AL539" i="2"/>
  <c r="AL540" i="2"/>
  <c r="AL541" i="2"/>
  <c r="AL542" i="2"/>
  <c r="AL543" i="2"/>
  <c r="AL544" i="2"/>
  <c r="AL545" i="2"/>
  <c r="AL546" i="2"/>
  <c r="AL547" i="2"/>
  <c r="AL548" i="2"/>
  <c r="AL549" i="2"/>
  <c r="AL550" i="2"/>
  <c r="AL551" i="2"/>
  <c r="AL552" i="2"/>
  <c r="AL553" i="2"/>
  <c r="AL554" i="2"/>
  <c r="AL555" i="2"/>
  <c r="AL556" i="2"/>
  <c r="AL557" i="2"/>
  <c r="AL558" i="2"/>
  <c r="AL559" i="2"/>
  <c r="AL560" i="2"/>
  <c r="AL561" i="2"/>
  <c r="AL562" i="2"/>
  <c r="AL563" i="2"/>
  <c r="AL564" i="2"/>
  <c r="AL565" i="2"/>
  <c r="AL566" i="2"/>
  <c r="AL567" i="2"/>
  <c r="AL568" i="2"/>
  <c r="AL569" i="2"/>
  <c r="AL570" i="2"/>
  <c r="AL571" i="2"/>
  <c r="AL572" i="2"/>
  <c r="AL573" i="2"/>
  <c r="AL574" i="2"/>
  <c r="AL575" i="2"/>
  <c r="AL576" i="2"/>
  <c r="AL577" i="2"/>
  <c r="AL578" i="2"/>
  <c r="AL579" i="2"/>
  <c r="AL580" i="2"/>
  <c r="AL581" i="2"/>
  <c r="AL582" i="2"/>
  <c r="AL583" i="2"/>
  <c r="AL584" i="2"/>
  <c r="AL585" i="2"/>
  <c r="AL586" i="2"/>
  <c r="AL587" i="2"/>
  <c r="AL588" i="2"/>
  <c r="AL589" i="2"/>
  <c r="AL590" i="2"/>
  <c r="AL591" i="2"/>
  <c r="AL592" i="2"/>
  <c r="AL593" i="2"/>
  <c r="AL594" i="2"/>
  <c r="AL595" i="2"/>
  <c r="AL596" i="2"/>
  <c r="AL597" i="2"/>
  <c r="AL598" i="2"/>
  <c r="AL599" i="2"/>
  <c r="AL600" i="2"/>
  <c r="AL601" i="2"/>
  <c r="AL602" i="2"/>
  <c r="AL603" i="2"/>
  <c r="AL604" i="2"/>
  <c r="AL605" i="2"/>
  <c r="AL606" i="2"/>
  <c r="AL607" i="2"/>
  <c r="AL608" i="2"/>
  <c r="AL609" i="2"/>
  <c r="AL610" i="2"/>
  <c r="AL611" i="2"/>
  <c r="AL612" i="2"/>
  <c r="AL613" i="2"/>
  <c r="AL614" i="2"/>
  <c r="AL615" i="2"/>
  <c r="AL616" i="2"/>
  <c r="AL617" i="2"/>
  <c r="AL618" i="2"/>
  <c r="AL619" i="2"/>
  <c r="AL620" i="2"/>
  <c r="AL621" i="2"/>
  <c r="AL622" i="2"/>
  <c r="AL623" i="2"/>
  <c r="AL624" i="2"/>
  <c r="AL625" i="2"/>
  <c r="AL626" i="2"/>
  <c r="AL627" i="2"/>
  <c r="AL628" i="2"/>
  <c r="AL629" i="2"/>
  <c r="AL630" i="2"/>
  <c r="AL631" i="2"/>
  <c r="AL632" i="2"/>
  <c r="AL633" i="2"/>
  <c r="AL634" i="2"/>
  <c r="AL635" i="2"/>
  <c r="AL636" i="2"/>
  <c r="AL637" i="2"/>
  <c r="AL638" i="2"/>
  <c r="AL639" i="2"/>
  <c r="AL640" i="2"/>
  <c r="AL641" i="2"/>
  <c r="AL642" i="2"/>
  <c r="AL643" i="2"/>
  <c r="AL644" i="2"/>
  <c r="AL645" i="2"/>
  <c r="AL646" i="2"/>
  <c r="AL647" i="2"/>
  <c r="AL648" i="2"/>
  <c r="AL649" i="2"/>
  <c r="AL650" i="2"/>
  <c r="AL651" i="2"/>
  <c r="AL652" i="2"/>
  <c r="AL653" i="2"/>
  <c r="AL654" i="2"/>
  <c r="AL655" i="2"/>
  <c r="AL656" i="2"/>
  <c r="AL657" i="2"/>
  <c r="AL658" i="2"/>
  <c r="AL659" i="2"/>
  <c r="AL660" i="2"/>
  <c r="AL661" i="2"/>
  <c r="AL662" i="2"/>
  <c r="AL663" i="2"/>
  <c r="AL664" i="2"/>
  <c r="AL665" i="2"/>
  <c r="AL666" i="2"/>
  <c r="AL667" i="2"/>
  <c r="AL668" i="2"/>
  <c r="AL669" i="2"/>
  <c r="AL670" i="2"/>
  <c r="AL671" i="2"/>
  <c r="AL672" i="2"/>
  <c r="AL673" i="2"/>
  <c r="AL674" i="2"/>
  <c r="AL675" i="2"/>
  <c r="AL676" i="2"/>
  <c r="AL677" i="2"/>
  <c r="AL678" i="2"/>
  <c r="AL679" i="2"/>
  <c r="AL680" i="2"/>
  <c r="AL681" i="2"/>
  <c r="AL682" i="2"/>
  <c r="AL683" i="2"/>
  <c r="AL684" i="2"/>
  <c r="AL685" i="2"/>
  <c r="AL686" i="2"/>
  <c r="AL687" i="2"/>
  <c r="AL688" i="2"/>
  <c r="AL689" i="2"/>
  <c r="AL690" i="2"/>
  <c r="AL691" i="2"/>
  <c r="AL692" i="2"/>
  <c r="AL693" i="2"/>
  <c r="AL694" i="2"/>
  <c r="AL695" i="2"/>
  <c r="AL696" i="2"/>
  <c r="AL697" i="2"/>
  <c r="AL698" i="2"/>
  <c r="AL699" i="2"/>
  <c r="AL700" i="2"/>
  <c r="AL701" i="2"/>
  <c r="AL702" i="2"/>
  <c r="AL703" i="2"/>
  <c r="AL704" i="2"/>
  <c r="AL705" i="2"/>
  <c r="AL706" i="2"/>
  <c r="AL707" i="2"/>
  <c r="AL708" i="2"/>
  <c r="AL709" i="2"/>
  <c r="AL710" i="2"/>
  <c r="AL711" i="2"/>
  <c r="AL712" i="2"/>
  <c r="AL713" i="2"/>
  <c r="AL714" i="2"/>
  <c r="AL715" i="2"/>
  <c r="AL716" i="2"/>
  <c r="AL717" i="2"/>
  <c r="AL718" i="2"/>
  <c r="AL719" i="2"/>
  <c r="AL720" i="2"/>
  <c r="AL721" i="2"/>
  <c r="AL722" i="2"/>
  <c r="AL723" i="2"/>
  <c r="AL724" i="2"/>
  <c r="AL725" i="2"/>
  <c r="AL726" i="2"/>
  <c r="AL727" i="2"/>
  <c r="AL728" i="2"/>
  <c r="AL729" i="2"/>
  <c r="AL730" i="2"/>
  <c r="AL731" i="2"/>
  <c r="AL732" i="2"/>
  <c r="AL733" i="2"/>
  <c r="AL734" i="2"/>
  <c r="AL735" i="2"/>
  <c r="AL736" i="2"/>
  <c r="AL737" i="2"/>
  <c r="AL738" i="2"/>
  <c r="AL739" i="2"/>
  <c r="AL740" i="2"/>
  <c r="AL741" i="2"/>
  <c r="AL742" i="2"/>
  <c r="AL743" i="2"/>
  <c r="AL744" i="2"/>
  <c r="AL745" i="2"/>
  <c r="AL746" i="2"/>
  <c r="AL747" i="2"/>
  <c r="AL748" i="2"/>
  <c r="AL749" i="2"/>
  <c r="AL750" i="2"/>
  <c r="AL751" i="2"/>
  <c r="AL752" i="2"/>
  <c r="AL753" i="2"/>
  <c r="AL754" i="2"/>
  <c r="AL755" i="2"/>
  <c r="AL756" i="2"/>
  <c r="AL757" i="2"/>
  <c r="AL758" i="2"/>
  <c r="AL759" i="2"/>
  <c r="AL760" i="2"/>
  <c r="AL761" i="2"/>
  <c r="AL762" i="2"/>
  <c r="AL763" i="2"/>
  <c r="AL764" i="2"/>
  <c r="AL765" i="2"/>
  <c r="AL766" i="2"/>
  <c r="AL767" i="2"/>
  <c r="AL768" i="2"/>
  <c r="AL769" i="2"/>
  <c r="AL770" i="2"/>
  <c r="AL771" i="2"/>
  <c r="AL772" i="2"/>
  <c r="AL773" i="2"/>
  <c r="AL774" i="2"/>
  <c r="AL775" i="2"/>
  <c r="AL776" i="2"/>
  <c r="AL777" i="2"/>
  <c r="AL778" i="2"/>
  <c r="AL779" i="2"/>
  <c r="AL780" i="2"/>
  <c r="AL781" i="2"/>
  <c r="AL782" i="2"/>
  <c r="AL783" i="2"/>
  <c r="AL784" i="2"/>
  <c r="AL785" i="2"/>
  <c r="AL786" i="2"/>
  <c r="AL787" i="2"/>
  <c r="AL788" i="2"/>
  <c r="AL789" i="2"/>
  <c r="AL790" i="2"/>
  <c r="AL791" i="2"/>
  <c r="AL792" i="2"/>
  <c r="AL793" i="2"/>
  <c r="AL794" i="2"/>
  <c r="AL795" i="2"/>
  <c r="AL796" i="2"/>
  <c r="AL797" i="2"/>
  <c r="AL798" i="2"/>
  <c r="AL799" i="2"/>
  <c r="AL800" i="2"/>
  <c r="AL801" i="2"/>
  <c r="AL802" i="2"/>
  <c r="AL803" i="2"/>
  <c r="AL804" i="2"/>
  <c r="AL805" i="2"/>
  <c r="AL806" i="2"/>
  <c r="AL807" i="2"/>
  <c r="AL808" i="2"/>
  <c r="AL809" i="2"/>
  <c r="AL810" i="2"/>
  <c r="AL811" i="2"/>
  <c r="AL812" i="2"/>
  <c r="AL813" i="2"/>
  <c r="AL814" i="2"/>
  <c r="AL815" i="2"/>
  <c r="AL816" i="2"/>
  <c r="AL817" i="2"/>
  <c r="AL818" i="2"/>
  <c r="AL819" i="2"/>
  <c r="AL820" i="2"/>
  <c r="AL821" i="2"/>
  <c r="AL822" i="2"/>
  <c r="AL823" i="2"/>
  <c r="AL824" i="2"/>
  <c r="AL825" i="2"/>
  <c r="AL826" i="2"/>
  <c r="AL827" i="2"/>
  <c r="AL828" i="2"/>
  <c r="AL829" i="2"/>
  <c r="AL830" i="2"/>
  <c r="AL831" i="2"/>
  <c r="AL832" i="2"/>
  <c r="AL833" i="2"/>
  <c r="AL834" i="2"/>
  <c r="AL835" i="2"/>
  <c r="AL836" i="2"/>
  <c r="AL837" i="2"/>
  <c r="AL838" i="2"/>
  <c r="AL839" i="2"/>
  <c r="AL840" i="2"/>
  <c r="AL841" i="2"/>
  <c r="AL842" i="2"/>
  <c r="AL843" i="2"/>
  <c r="AL844" i="2"/>
  <c r="AL845" i="2"/>
  <c r="AL846" i="2"/>
  <c r="AL847" i="2"/>
  <c r="AL848" i="2"/>
  <c r="AL849" i="2"/>
  <c r="AL850" i="2"/>
  <c r="AL851" i="2"/>
  <c r="AL852" i="2"/>
  <c r="AL853" i="2"/>
  <c r="AL854" i="2"/>
  <c r="AL855" i="2"/>
  <c r="AL856" i="2"/>
  <c r="AL857" i="2"/>
  <c r="AL858" i="2"/>
  <c r="AL859" i="2"/>
  <c r="AL860" i="2"/>
  <c r="AL861" i="2"/>
  <c r="AL862" i="2"/>
  <c r="AL863" i="2"/>
  <c r="AL864" i="2"/>
  <c r="AL865" i="2"/>
  <c r="AL866" i="2"/>
  <c r="AL867" i="2"/>
  <c r="AL868" i="2"/>
  <c r="AL869" i="2"/>
  <c r="AL870" i="2"/>
  <c r="AL871" i="2"/>
  <c r="AL872" i="2"/>
  <c r="AL873" i="2"/>
  <c r="AL874" i="2"/>
  <c r="AL875" i="2"/>
  <c r="AL876" i="2"/>
  <c r="AL877" i="2"/>
  <c r="AL878" i="2"/>
  <c r="AL879" i="2"/>
  <c r="AL880" i="2"/>
  <c r="AL881" i="2"/>
  <c r="AL882" i="2"/>
  <c r="AL883" i="2"/>
  <c r="AL884" i="2"/>
  <c r="AL885" i="2"/>
  <c r="AL886" i="2"/>
  <c r="AL887" i="2"/>
  <c r="AL888" i="2"/>
  <c r="AL889" i="2"/>
  <c r="AL890" i="2"/>
  <c r="AL891" i="2"/>
  <c r="AL892" i="2"/>
  <c r="AL893" i="2"/>
  <c r="AL894" i="2"/>
  <c r="AL895" i="2"/>
  <c r="AL896" i="2"/>
  <c r="AL897" i="2"/>
  <c r="AL898" i="2"/>
  <c r="AL899" i="2"/>
  <c r="AL900" i="2"/>
  <c r="AL901" i="2"/>
  <c r="AL902" i="2"/>
  <c r="AL903" i="2"/>
  <c r="AL904" i="2"/>
  <c r="AL905" i="2"/>
  <c r="AL906" i="2"/>
  <c r="AL907" i="2"/>
  <c r="AL908" i="2"/>
  <c r="AL909" i="2"/>
  <c r="AL910" i="2"/>
  <c r="AL911" i="2"/>
  <c r="AL912" i="2"/>
  <c r="AL913" i="2"/>
  <c r="AL914" i="2"/>
  <c r="AL915" i="2"/>
  <c r="AL916" i="2"/>
  <c r="AL917" i="2"/>
  <c r="AL918" i="2"/>
  <c r="AL919" i="2"/>
  <c r="AL920" i="2"/>
  <c r="AL921" i="2"/>
  <c r="AL922" i="2"/>
  <c r="AL923" i="2"/>
  <c r="AL924" i="2"/>
  <c r="AL925" i="2"/>
  <c r="AL926" i="2"/>
  <c r="AL927" i="2"/>
  <c r="AL928" i="2"/>
  <c r="AL929" i="2"/>
  <c r="AL930" i="2"/>
  <c r="AL931" i="2"/>
  <c r="AL932" i="2"/>
  <c r="AL933" i="2"/>
  <c r="AL934" i="2"/>
  <c r="AL935" i="2"/>
  <c r="AL936" i="2"/>
  <c r="AL937" i="2"/>
  <c r="AL938" i="2"/>
  <c r="AL939" i="2"/>
  <c r="AL940" i="2"/>
  <c r="AL941" i="2"/>
  <c r="AL942" i="2"/>
  <c r="AL943" i="2"/>
  <c r="AL944" i="2"/>
  <c r="AL945" i="2"/>
  <c r="AL946" i="2"/>
  <c r="AL947" i="2"/>
  <c r="AL948" i="2"/>
  <c r="AL949" i="2"/>
  <c r="AL950" i="2"/>
  <c r="AL951" i="2"/>
  <c r="AL952" i="2"/>
  <c r="AL953" i="2"/>
  <c r="AL954" i="2"/>
  <c r="AL955" i="2"/>
  <c r="AL956" i="2"/>
  <c r="AL957" i="2"/>
  <c r="AL958" i="2"/>
  <c r="AL959" i="2"/>
  <c r="AL960" i="2"/>
  <c r="AL961" i="2"/>
  <c r="AL962" i="2"/>
  <c r="AL963" i="2"/>
  <c r="AL964" i="2"/>
  <c r="AL965" i="2"/>
  <c r="AL966" i="2"/>
  <c r="AL967" i="2"/>
  <c r="AL968" i="2"/>
  <c r="AL969" i="2"/>
  <c r="AL970" i="2"/>
  <c r="AL971" i="2"/>
  <c r="AL972" i="2"/>
  <c r="AL973" i="2"/>
  <c r="AL974" i="2"/>
  <c r="AL975" i="2"/>
  <c r="AL976" i="2"/>
  <c r="AL977" i="2"/>
  <c r="AL978" i="2"/>
  <c r="AL979" i="2"/>
  <c r="AL980" i="2"/>
  <c r="AL981" i="2"/>
  <c r="AL982" i="2"/>
  <c r="AL983" i="2"/>
  <c r="AL984" i="2"/>
  <c r="AL985" i="2"/>
  <c r="AL986" i="2"/>
  <c r="AL987" i="2"/>
  <c r="AL988" i="2"/>
  <c r="AL989" i="2"/>
  <c r="AL990" i="2"/>
  <c r="AL991" i="2"/>
  <c r="AL992" i="2"/>
  <c r="AL993" i="2"/>
  <c r="AL994" i="2"/>
  <c r="AL995" i="2"/>
  <c r="AL996" i="2"/>
  <c r="AL997" i="2"/>
  <c r="AL998" i="2"/>
  <c r="AL999" i="2"/>
  <c r="AL1000" i="2"/>
  <c r="AL1001" i="2"/>
  <c r="AL1002" i="2"/>
  <c r="AL1003" i="2"/>
  <c r="AL1004" i="2"/>
  <c r="AL1005" i="2"/>
  <c r="AL1006" i="2"/>
  <c r="AL1007" i="2"/>
  <c r="AL1008" i="2"/>
  <c r="AL1009" i="2"/>
  <c r="AL1010" i="2"/>
  <c r="AL1011" i="2"/>
  <c r="AL1012" i="2"/>
  <c r="AL1013" i="2"/>
  <c r="AL1014" i="2"/>
  <c r="AL1015" i="2"/>
  <c r="AL1016" i="2"/>
  <c r="AL1017" i="2"/>
  <c r="AL1018" i="2"/>
  <c r="AL1019" i="2"/>
  <c r="AL1020" i="2"/>
  <c r="AL1021" i="2"/>
  <c r="AL1022" i="2"/>
  <c r="AL1023" i="2"/>
  <c r="AL1024" i="2"/>
  <c r="AL1025" i="2"/>
  <c r="AL1026" i="2"/>
  <c r="AL1027" i="2"/>
  <c r="AL1028" i="2"/>
  <c r="AL1029" i="2"/>
  <c r="AL1030" i="2"/>
  <c r="AL1031" i="2"/>
  <c r="AL1032" i="2"/>
  <c r="AL1033" i="2"/>
  <c r="AL1034" i="2"/>
  <c r="AL1035" i="2"/>
  <c r="AL1036" i="2"/>
  <c r="AL1037" i="2"/>
  <c r="AL1038" i="2"/>
  <c r="AL1039" i="2"/>
  <c r="AL1040" i="2"/>
  <c r="AL1041" i="2"/>
  <c r="AL1042" i="2"/>
  <c r="AL1043" i="2"/>
  <c r="AL1044" i="2"/>
  <c r="AL1045" i="2"/>
  <c r="AL1046" i="2"/>
  <c r="AL1047" i="2"/>
  <c r="AL1048" i="2"/>
  <c r="AL1049" i="2"/>
  <c r="AL1050" i="2"/>
  <c r="AL1051" i="2"/>
  <c r="AL1052" i="2"/>
  <c r="AL1053" i="2"/>
  <c r="AL1054" i="2"/>
  <c r="AL1055" i="2"/>
  <c r="AL1056" i="2"/>
  <c r="AL1057" i="2"/>
  <c r="AL1058" i="2"/>
  <c r="AL1059" i="2"/>
  <c r="AL1060" i="2"/>
  <c r="AL1061" i="2"/>
  <c r="AL1062" i="2"/>
  <c r="AL1063" i="2"/>
  <c r="AL1064" i="2"/>
  <c r="AL1065" i="2"/>
  <c r="AL1066" i="2"/>
  <c r="AL1067" i="2"/>
  <c r="AL1068" i="2"/>
  <c r="AL1069" i="2"/>
  <c r="AL1070" i="2"/>
  <c r="AL1071" i="2"/>
  <c r="AL1072" i="2"/>
  <c r="AL1073" i="2"/>
  <c r="AL1074" i="2"/>
  <c r="AL1075" i="2"/>
  <c r="AL1076" i="2"/>
  <c r="AL1077" i="2"/>
  <c r="AL1078" i="2"/>
  <c r="AL1079" i="2"/>
  <c r="AL1080" i="2"/>
  <c r="AL1081" i="2"/>
  <c r="AL1082" i="2"/>
  <c r="AL1083" i="2"/>
  <c r="AL1084" i="2"/>
  <c r="AL1085" i="2"/>
  <c r="AL1086" i="2"/>
  <c r="AL1087" i="2"/>
  <c r="AL1088" i="2"/>
  <c r="AL1089" i="2"/>
  <c r="AL1090" i="2"/>
  <c r="AL1091" i="2"/>
  <c r="AL1092" i="2"/>
  <c r="AL1093" i="2"/>
  <c r="AL1094" i="2"/>
  <c r="AL1095" i="2"/>
  <c r="AL1096" i="2"/>
  <c r="AL1097" i="2"/>
  <c r="AL1098" i="2"/>
  <c r="AL1099" i="2"/>
  <c r="AL1100" i="2"/>
  <c r="AL1101" i="2"/>
  <c r="AL1102" i="2"/>
  <c r="AL1103" i="2"/>
  <c r="AL1104" i="2"/>
  <c r="AL1105" i="2"/>
  <c r="AL1106" i="2"/>
  <c r="AL1107" i="2"/>
  <c r="AL1108" i="2"/>
  <c r="AL1109" i="2"/>
  <c r="AL1110" i="2"/>
  <c r="AL1111" i="2"/>
  <c r="AL1112" i="2"/>
  <c r="AL1113" i="2"/>
  <c r="AL1114" i="2"/>
  <c r="AL1115" i="2"/>
  <c r="AL1116" i="2"/>
  <c r="AL1117" i="2"/>
  <c r="AL1118" i="2"/>
  <c r="AL1119" i="2"/>
  <c r="AL1120" i="2"/>
  <c r="AL1121" i="2"/>
  <c r="AL1122" i="2"/>
  <c r="AL1123" i="2"/>
  <c r="AL1124" i="2"/>
  <c r="AL1125" i="2"/>
  <c r="AL1126" i="2"/>
  <c r="AL1127" i="2"/>
  <c r="AL1128" i="2"/>
  <c r="AL1129" i="2"/>
  <c r="AL1130" i="2"/>
  <c r="AL1131" i="2"/>
  <c r="AL1132" i="2"/>
  <c r="AL1133" i="2"/>
  <c r="AL1134" i="2"/>
  <c r="AL1135" i="2"/>
  <c r="AL1136" i="2"/>
  <c r="AL1137" i="2"/>
  <c r="AL1138" i="2"/>
  <c r="AL1139" i="2"/>
  <c r="AL1140" i="2"/>
  <c r="AL1141" i="2"/>
  <c r="AL1142" i="2"/>
  <c r="AL1143" i="2"/>
  <c r="AL1144" i="2"/>
  <c r="AL1145" i="2"/>
  <c r="AL1146" i="2"/>
  <c r="AL1147" i="2"/>
  <c r="AL1148" i="2"/>
  <c r="AL1149" i="2"/>
  <c r="AL1150" i="2"/>
  <c r="AL1151" i="2"/>
  <c r="AL1152" i="2"/>
  <c r="AL1153" i="2"/>
  <c r="AL1154" i="2"/>
  <c r="AL1155" i="2"/>
  <c r="AL1156" i="2"/>
  <c r="AL1157" i="2"/>
  <c r="AL1158" i="2"/>
  <c r="AL1159" i="2"/>
  <c r="AL1160" i="2"/>
  <c r="AL1161" i="2"/>
  <c r="AL1162" i="2"/>
  <c r="AL1163" i="2"/>
  <c r="AL1164" i="2"/>
  <c r="AL1165" i="2"/>
  <c r="AL1166" i="2"/>
  <c r="AL1167" i="2"/>
  <c r="AL1168" i="2"/>
  <c r="AL1169" i="2"/>
  <c r="AL1170" i="2"/>
  <c r="AL1171" i="2"/>
  <c r="AL1172" i="2"/>
  <c r="AL1173" i="2"/>
  <c r="AL1174" i="2"/>
  <c r="AL1175" i="2"/>
  <c r="AL1176" i="2"/>
  <c r="AL1177" i="2"/>
  <c r="AL1178" i="2"/>
  <c r="AL1179" i="2"/>
  <c r="AL1180" i="2"/>
  <c r="AL1181" i="2"/>
  <c r="AL1182" i="2"/>
  <c r="AL1183" i="2"/>
  <c r="AL1184" i="2"/>
  <c r="AL1185" i="2"/>
  <c r="AL1186" i="2"/>
  <c r="AL1187" i="2"/>
  <c r="AL1188" i="2"/>
  <c r="AL1189" i="2"/>
  <c r="AL1190" i="2"/>
  <c r="AL1191" i="2"/>
  <c r="AL1192" i="2"/>
  <c r="AL1193" i="2"/>
  <c r="AL1194" i="2"/>
  <c r="AL1195" i="2"/>
  <c r="AL1196" i="2"/>
  <c r="AL1197" i="2"/>
  <c r="AL1198" i="2"/>
  <c r="AL1199" i="2"/>
  <c r="AL1200" i="2"/>
  <c r="AL1201" i="2"/>
  <c r="AL1202" i="2"/>
  <c r="AL1203" i="2"/>
  <c r="AL1204" i="2"/>
  <c r="AL1205" i="2"/>
  <c r="AL1206" i="2"/>
  <c r="AL1207" i="2"/>
  <c r="AL1208" i="2"/>
  <c r="AL1209" i="2"/>
  <c r="AL1210" i="2"/>
  <c r="AL1211" i="2"/>
  <c r="AL1212" i="2"/>
  <c r="AL1213" i="2"/>
  <c r="AL1214" i="2"/>
  <c r="AL1215" i="2"/>
  <c r="AL1216" i="2"/>
  <c r="AL1217" i="2"/>
  <c r="AL1218" i="2"/>
  <c r="AL1219" i="2"/>
  <c r="AL1220" i="2"/>
  <c r="AL1221" i="2"/>
  <c r="AL1222" i="2"/>
  <c r="AL1223" i="2"/>
  <c r="AL1224" i="2"/>
  <c r="AL1225" i="2"/>
  <c r="AL1226" i="2"/>
  <c r="AL1227" i="2"/>
  <c r="AL1228" i="2"/>
  <c r="AL1229" i="2"/>
  <c r="AL1230" i="2"/>
  <c r="AL1231" i="2"/>
  <c r="AL1232" i="2"/>
  <c r="AL1233" i="2"/>
  <c r="AL1234" i="2"/>
  <c r="AL1235" i="2"/>
  <c r="AL1236" i="2"/>
  <c r="AL1237" i="2"/>
  <c r="AL1238" i="2"/>
  <c r="AL1239" i="2"/>
  <c r="AL1240" i="2"/>
  <c r="AL1241" i="2"/>
  <c r="AL1242" i="2"/>
  <c r="AL1243" i="2"/>
  <c r="AL1244" i="2"/>
  <c r="AL1245" i="2"/>
  <c r="AL1246" i="2"/>
  <c r="AL1247" i="2"/>
  <c r="AL1248" i="2"/>
  <c r="AL1249" i="2"/>
  <c r="AL1250" i="2"/>
  <c r="AL1251" i="2"/>
  <c r="AL1252" i="2"/>
  <c r="AL1253" i="2"/>
  <c r="AL1254" i="2"/>
  <c r="AL1255" i="2"/>
  <c r="AL1256" i="2"/>
  <c r="AL1257" i="2"/>
  <c r="AL1258" i="2"/>
  <c r="AL1259" i="2"/>
  <c r="AL1260" i="2"/>
  <c r="AL1261" i="2"/>
  <c r="AL1262" i="2"/>
  <c r="AL1263" i="2"/>
  <c r="AL1264" i="2"/>
  <c r="AL1265" i="2"/>
  <c r="AL1266" i="2"/>
  <c r="AL1267" i="2"/>
  <c r="AL1268" i="2"/>
  <c r="AL1269" i="2"/>
  <c r="AL1270" i="2"/>
  <c r="AL1271" i="2"/>
  <c r="AL1272" i="2"/>
  <c r="AL1273" i="2"/>
  <c r="AL1274" i="2"/>
  <c r="AL1275" i="2"/>
  <c r="AL1276" i="2"/>
  <c r="AL1277" i="2"/>
  <c r="AL1278" i="2"/>
  <c r="AL1279" i="2"/>
  <c r="AL1280" i="2"/>
  <c r="AL1281" i="2"/>
  <c r="AL1282" i="2"/>
  <c r="AL1283" i="2"/>
  <c r="AL1284" i="2"/>
  <c r="AL1285" i="2"/>
  <c r="AL1286" i="2"/>
  <c r="AL1287" i="2"/>
  <c r="AL1288" i="2"/>
  <c r="AL1289" i="2"/>
  <c r="AL1290" i="2"/>
  <c r="AL1291" i="2"/>
  <c r="AL1292" i="2"/>
  <c r="AL1293" i="2"/>
  <c r="AL1294" i="2"/>
  <c r="AL1295" i="2"/>
  <c r="AL1296" i="2"/>
  <c r="AL1297" i="2"/>
  <c r="AL1298" i="2"/>
  <c r="AL1299" i="2"/>
  <c r="AL1300" i="2"/>
  <c r="AL1301" i="2"/>
  <c r="AL1302" i="2"/>
  <c r="AL1303" i="2"/>
  <c r="AL1304" i="2"/>
  <c r="AL1305" i="2"/>
  <c r="AL1306" i="2"/>
  <c r="AL1307" i="2"/>
  <c r="AL1308" i="2"/>
  <c r="AL1309" i="2"/>
  <c r="AL1310" i="2"/>
  <c r="AL1311" i="2"/>
  <c r="AL1312" i="2"/>
  <c r="AL1313" i="2"/>
  <c r="AL1314" i="2"/>
  <c r="AL1315" i="2"/>
  <c r="AL1316" i="2"/>
  <c r="AL1317" i="2"/>
  <c r="AL1318" i="2"/>
  <c r="AL1319" i="2"/>
  <c r="AL1320" i="2"/>
  <c r="AL1321" i="2"/>
  <c r="AL1322" i="2"/>
  <c r="AL1323" i="2"/>
  <c r="AL1324" i="2"/>
  <c r="AL1325" i="2"/>
  <c r="AL1326" i="2"/>
  <c r="AL1327" i="2"/>
  <c r="AL1328" i="2"/>
  <c r="AL1329" i="2"/>
  <c r="AL1330" i="2"/>
  <c r="AL1331" i="2"/>
  <c r="AL1332" i="2"/>
  <c r="AL1333" i="2"/>
  <c r="AL1334" i="2"/>
  <c r="AL1335" i="2"/>
  <c r="AL1336" i="2"/>
  <c r="AL1337" i="2"/>
  <c r="AL1338" i="2"/>
  <c r="AL1339" i="2"/>
  <c r="AL1340" i="2"/>
  <c r="AL1341" i="2"/>
  <c r="AL1342" i="2"/>
  <c r="AL1343" i="2"/>
  <c r="AL1344" i="2"/>
  <c r="AL1345" i="2"/>
  <c r="AL1346" i="2"/>
  <c r="AL1347" i="2"/>
  <c r="AL1348" i="2"/>
  <c r="AL1349" i="2"/>
  <c r="AL1350" i="2"/>
  <c r="AL1351" i="2"/>
  <c r="AL1352" i="2"/>
  <c r="AL1353" i="2"/>
  <c r="AL1354" i="2"/>
  <c r="AL1355" i="2"/>
  <c r="AL1356" i="2"/>
  <c r="AL1357" i="2"/>
  <c r="AL1358" i="2"/>
  <c r="AL1359" i="2"/>
  <c r="AL1360" i="2"/>
  <c r="AL1361" i="2"/>
  <c r="AL1362" i="2"/>
  <c r="AL1363" i="2"/>
  <c r="AL1364" i="2"/>
  <c r="AL1365" i="2"/>
  <c r="AL1366" i="2"/>
  <c r="AL1367" i="2"/>
  <c r="AL1368" i="2"/>
  <c r="AL1369" i="2"/>
  <c r="AL1370" i="2"/>
  <c r="AL1371" i="2"/>
  <c r="AL1372" i="2"/>
  <c r="AL1373" i="2"/>
  <c r="AL1374" i="2"/>
  <c r="AL1375" i="2"/>
  <c r="AL1376" i="2"/>
  <c r="AL1377" i="2"/>
  <c r="AL1378" i="2"/>
  <c r="AL1379" i="2"/>
  <c r="AL1380" i="2"/>
  <c r="AL1381" i="2"/>
  <c r="AL1382" i="2"/>
  <c r="AL1383" i="2"/>
  <c r="AL1384" i="2"/>
  <c r="AL1385" i="2"/>
  <c r="AL1386" i="2"/>
  <c r="AL1387" i="2"/>
  <c r="AL1388" i="2"/>
  <c r="AL1389" i="2"/>
  <c r="AL1390" i="2"/>
  <c r="AL1391" i="2"/>
  <c r="AL1392" i="2"/>
  <c r="AL1393" i="2"/>
  <c r="AL1394" i="2"/>
  <c r="AL1395" i="2"/>
  <c r="AL1396" i="2"/>
  <c r="AL1397" i="2"/>
  <c r="AL1398" i="2"/>
  <c r="AL1399" i="2"/>
  <c r="AL1400" i="2"/>
  <c r="AL1401" i="2"/>
  <c r="AL1402" i="2"/>
  <c r="AL1403" i="2"/>
  <c r="AL1404" i="2"/>
  <c r="AL1405" i="2"/>
  <c r="AL1406" i="2"/>
  <c r="AL1407" i="2"/>
  <c r="AL1408" i="2"/>
  <c r="AL1409" i="2"/>
  <c r="AL1410" i="2"/>
  <c r="AL1411" i="2"/>
  <c r="AL1412" i="2"/>
  <c r="AL1413" i="2"/>
  <c r="AL1414" i="2"/>
  <c r="AL1415" i="2"/>
  <c r="AL1416" i="2"/>
  <c r="AL1417" i="2"/>
  <c r="AL1418" i="2"/>
  <c r="AL1419" i="2"/>
  <c r="AL1420" i="2"/>
  <c r="AL1421" i="2"/>
  <c r="AL1422" i="2"/>
  <c r="AL1423" i="2"/>
  <c r="AL1424" i="2"/>
  <c r="AL1425" i="2"/>
  <c r="AL1426" i="2"/>
  <c r="AL1427" i="2"/>
  <c r="AL1428" i="2"/>
  <c r="AL1429" i="2"/>
  <c r="AL1430" i="2"/>
  <c r="AL1431" i="2"/>
  <c r="AL1432" i="2"/>
  <c r="AL1433" i="2"/>
  <c r="AL1434" i="2"/>
  <c r="AL1435" i="2"/>
  <c r="AL1436" i="2"/>
  <c r="AL1437" i="2"/>
  <c r="AL1438" i="2"/>
  <c r="AL1439" i="2"/>
  <c r="AL1440" i="2"/>
  <c r="AL1441" i="2"/>
  <c r="AL1442" i="2"/>
  <c r="AL1443" i="2"/>
  <c r="AL1444" i="2"/>
  <c r="AL1445" i="2"/>
  <c r="AL1446" i="2"/>
  <c r="AL1447" i="2"/>
  <c r="AL1448" i="2"/>
  <c r="AL1449" i="2"/>
  <c r="AL1450" i="2"/>
  <c r="AL1451" i="2"/>
  <c r="AL1452" i="2"/>
  <c r="AL1453" i="2"/>
  <c r="AL1454" i="2"/>
  <c r="AL1455" i="2"/>
  <c r="AL1456" i="2"/>
  <c r="AL1457" i="2"/>
  <c r="AL1458" i="2"/>
  <c r="AL1459" i="2"/>
  <c r="AL1460" i="2"/>
  <c r="AL1461" i="2"/>
  <c r="AL1462" i="2"/>
  <c r="AL1463" i="2"/>
  <c r="AL1464" i="2"/>
  <c r="AL1465" i="2"/>
  <c r="AL1466" i="2"/>
  <c r="AL1467" i="2"/>
  <c r="AL1468" i="2"/>
  <c r="AL1469" i="2"/>
  <c r="AL1470" i="2"/>
  <c r="AL1471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K546" i="2"/>
  <c r="AK547" i="2"/>
  <c r="AK548" i="2"/>
  <c r="AK549" i="2"/>
  <c r="AK550" i="2"/>
  <c r="AK551" i="2"/>
  <c r="AK552" i="2"/>
  <c r="AK553" i="2"/>
  <c r="AK554" i="2"/>
  <c r="AK555" i="2"/>
  <c r="AK556" i="2"/>
  <c r="AK557" i="2"/>
  <c r="AK558" i="2"/>
  <c r="AK559" i="2"/>
  <c r="AK560" i="2"/>
  <c r="AK561" i="2"/>
  <c r="AK562" i="2"/>
  <c r="AK563" i="2"/>
  <c r="AK564" i="2"/>
  <c r="AK565" i="2"/>
  <c r="AK566" i="2"/>
  <c r="AK567" i="2"/>
  <c r="AK568" i="2"/>
  <c r="AK569" i="2"/>
  <c r="AK570" i="2"/>
  <c r="AK571" i="2"/>
  <c r="AK572" i="2"/>
  <c r="AK573" i="2"/>
  <c r="AK574" i="2"/>
  <c r="AK575" i="2"/>
  <c r="AK576" i="2"/>
  <c r="AK577" i="2"/>
  <c r="AK578" i="2"/>
  <c r="AK579" i="2"/>
  <c r="AK580" i="2"/>
  <c r="AK581" i="2"/>
  <c r="AK582" i="2"/>
  <c r="AK583" i="2"/>
  <c r="AK584" i="2"/>
  <c r="AK585" i="2"/>
  <c r="AK586" i="2"/>
  <c r="AK587" i="2"/>
  <c r="AK588" i="2"/>
  <c r="AK589" i="2"/>
  <c r="AK590" i="2"/>
  <c r="AK591" i="2"/>
  <c r="AK592" i="2"/>
  <c r="AK593" i="2"/>
  <c r="AK594" i="2"/>
  <c r="AK595" i="2"/>
  <c r="AK596" i="2"/>
  <c r="AK597" i="2"/>
  <c r="AK598" i="2"/>
  <c r="AK599" i="2"/>
  <c r="AK600" i="2"/>
  <c r="AK601" i="2"/>
  <c r="AK602" i="2"/>
  <c r="AK603" i="2"/>
  <c r="AK604" i="2"/>
  <c r="AK605" i="2"/>
  <c r="AK606" i="2"/>
  <c r="AK607" i="2"/>
  <c r="AK608" i="2"/>
  <c r="AK609" i="2"/>
  <c r="AK610" i="2"/>
  <c r="AK611" i="2"/>
  <c r="AK612" i="2"/>
  <c r="AK613" i="2"/>
  <c r="AK614" i="2"/>
  <c r="AK615" i="2"/>
  <c r="AK616" i="2"/>
  <c r="AK617" i="2"/>
  <c r="AK618" i="2"/>
  <c r="AK619" i="2"/>
  <c r="AK620" i="2"/>
  <c r="AK621" i="2"/>
  <c r="AK622" i="2"/>
  <c r="AK623" i="2"/>
  <c r="AK624" i="2"/>
  <c r="AK625" i="2"/>
  <c r="AK626" i="2"/>
  <c r="AK627" i="2"/>
  <c r="AK628" i="2"/>
  <c r="AK629" i="2"/>
  <c r="AK630" i="2"/>
  <c r="AK631" i="2"/>
  <c r="AK632" i="2"/>
  <c r="AK633" i="2"/>
  <c r="AK634" i="2"/>
  <c r="AK635" i="2"/>
  <c r="AK636" i="2"/>
  <c r="AK637" i="2"/>
  <c r="AK638" i="2"/>
  <c r="AK639" i="2"/>
  <c r="AK640" i="2"/>
  <c r="AK641" i="2"/>
  <c r="AK642" i="2"/>
  <c r="AK643" i="2"/>
  <c r="AK644" i="2"/>
  <c r="AK645" i="2"/>
  <c r="AK646" i="2"/>
  <c r="AK647" i="2"/>
  <c r="AK648" i="2"/>
  <c r="AK649" i="2"/>
  <c r="AK650" i="2"/>
  <c r="AK651" i="2"/>
  <c r="AK652" i="2"/>
  <c r="AK653" i="2"/>
  <c r="AK654" i="2"/>
  <c r="AK655" i="2"/>
  <c r="AK656" i="2"/>
  <c r="AK657" i="2"/>
  <c r="AK658" i="2"/>
  <c r="AK659" i="2"/>
  <c r="AK660" i="2"/>
  <c r="AK661" i="2"/>
  <c r="AK662" i="2"/>
  <c r="AK663" i="2"/>
  <c r="AK664" i="2"/>
  <c r="AK665" i="2"/>
  <c r="AK666" i="2"/>
  <c r="AK667" i="2"/>
  <c r="AK668" i="2"/>
  <c r="AK669" i="2"/>
  <c r="AK670" i="2"/>
  <c r="AK671" i="2"/>
  <c r="AK672" i="2"/>
  <c r="AK673" i="2"/>
  <c r="AK674" i="2"/>
  <c r="AK675" i="2"/>
  <c r="AK676" i="2"/>
  <c r="AK677" i="2"/>
  <c r="AK678" i="2"/>
  <c r="AK679" i="2"/>
  <c r="AK680" i="2"/>
  <c r="AK681" i="2"/>
  <c r="AK682" i="2"/>
  <c r="AK683" i="2"/>
  <c r="AK684" i="2"/>
  <c r="AK685" i="2"/>
  <c r="AK686" i="2"/>
  <c r="AK687" i="2"/>
  <c r="AK688" i="2"/>
  <c r="AK689" i="2"/>
  <c r="AK690" i="2"/>
  <c r="AK691" i="2"/>
  <c r="AK692" i="2"/>
  <c r="AK693" i="2"/>
  <c r="AK694" i="2"/>
  <c r="AK695" i="2"/>
  <c r="AK696" i="2"/>
  <c r="AK697" i="2"/>
  <c r="AK698" i="2"/>
  <c r="AK699" i="2"/>
  <c r="AK700" i="2"/>
  <c r="AK701" i="2"/>
  <c r="AK702" i="2"/>
  <c r="AK703" i="2"/>
  <c r="AK704" i="2"/>
  <c r="AK705" i="2"/>
  <c r="AK706" i="2"/>
  <c r="AK707" i="2"/>
  <c r="AK708" i="2"/>
  <c r="AK709" i="2"/>
  <c r="AK710" i="2"/>
  <c r="AK711" i="2"/>
  <c r="AK712" i="2"/>
  <c r="AK713" i="2"/>
  <c r="AK714" i="2"/>
  <c r="AK715" i="2"/>
  <c r="AK716" i="2"/>
  <c r="AK717" i="2"/>
  <c r="AK718" i="2"/>
  <c r="AK719" i="2"/>
  <c r="AK720" i="2"/>
  <c r="AK721" i="2"/>
  <c r="AK722" i="2"/>
  <c r="AK723" i="2"/>
  <c r="AK724" i="2"/>
  <c r="AK725" i="2"/>
  <c r="AK726" i="2"/>
  <c r="AK727" i="2"/>
  <c r="AK728" i="2"/>
  <c r="AK729" i="2"/>
  <c r="AK730" i="2"/>
  <c r="AK731" i="2"/>
  <c r="AK732" i="2"/>
  <c r="AK733" i="2"/>
  <c r="AK734" i="2"/>
  <c r="AK735" i="2"/>
  <c r="AK736" i="2"/>
  <c r="AK737" i="2"/>
  <c r="AK738" i="2"/>
  <c r="AK739" i="2"/>
  <c r="AK740" i="2"/>
  <c r="AK741" i="2"/>
  <c r="AK742" i="2"/>
  <c r="AK743" i="2"/>
  <c r="AK744" i="2"/>
  <c r="AK745" i="2"/>
  <c r="AK746" i="2"/>
  <c r="AK747" i="2"/>
  <c r="AK748" i="2"/>
  <c r="AK749" i="2"/>
  <c r="AK750" i="2"/>
  <c r="AK751" i="2"/>
  <c r="AK752" i="2"/>
  <c r="AK753" i="2"/>
  <c r="AK754" i="2"/>
  <c r="AK755" i="2"/>
  <c r="AK756" i="2"/>
  <c r="AK757" i="2"/>
  <c r="AK758" i="2"/>
  <c r="AK759" i="2"/>
  <c r="AK760" i="2"/>
  <c r="AK761" i="2"/>
  <c r="AK762" i="2"/>
  <c r="AK763" i="2"/>
  <c r="AK764" i="2"/>
  <c r="AK765" i="2"/>
  <c r="AK766" i="2"/>
  <c r="AK767" i="2"/>
  <c r="AK768" i="2"/>
  <c r="AK769" i="2"/>
  <c r="AK770" i="2"/>
  <c r="AK771" i="2"/>
  <c r="AK772" i="2"/>
  <c r="AK773" i="2"/>
  <c r="AK774" i="2"/>
  <c r="AK775" i="2"/>
  <c r="AK776" i="2"/>
  <c r="AK777" i="2"/>
  <c r="AK778" i="2"/>
  <c r="AK779" i="2"/>
  <c r="AK780" i="2"/>
  <c r="AK781" i="2"/>
  <c r="AK782" i="2"/>
  <c r="AK783" i="2"/>
  <c r="AK784" i="2"/>
  <c r="AK785" i="2"/>
  <c r="AK786" i="2"/>
  <c r="AK787" i="2"/>
  <c r="AK788" i="2"/>
  <c r="AK789" i="2"/>
  <c r="AK790" i="2"/>
  <c r="AK791" i="2"/>
  <c r="AK792" i="2"/>
  <c r="AK793" i="2"/>
  <c r="AK794" i="2"/>
  <c r="AK795" i="2"/>
  <c r="AK796" i="2"/>
  <c r="AK797" i="2"/>
  <c r="AK798" i="2"/>
  <c r="AK799" i="2"/>
  <c r="AK800" i="2"/>
  <c r="AK801" i="2"/>
  <c r="AK802" i="2"/>
  <c r="AK803" i="2"/>
  <c r="AK804" i="2"/>
  <c r="AK805" i="2"/>
  <c r="AK806" i="2"/>
  <c r="AK807" i="2"/>
  <c r="AK808" i="2"/>
  <c r="AK809" i="2"/>
  <c r="AK810" i="2"/>
  <c r="AK811" i="2"/>
  <c r="AK812" i="2"/>
  <c r="AK813" i="2"/>
  <c r="AK814" i="2"/>
  <c r="AK815" i="2"/>
  <c r="AK816" i="2"/>
  <c r="AK817" i="2"/>
  <c r="AK818" i="2"/>
  <c r="AK819" i="2"/>
  <c r="AK820" i="2"/>
  <c r="AK821" i="2"/>
  <c r="AK822" i="2"/>
  <c r="AK823" i="2"/>
  <c r="AK824" i="2"/>
  <c r="AK825" i="2"/>
  <c r="AK826" i="2"/>
  <c r="AK827" i="2"/>
  <c r="AK828" i="2"/>
  <c r="AK829" i="2"/>
  <c r="AK830" i="2"/>
  <c r="AK831" i="2"/>
  <c r="AK832" i="2"/>
  <c r="AK833" i="2"/>
  <c r="AK834" i="2"/>
  <c r="AK835" i="2"/>
  <c r="AK836" i="2"/>
  <c r="AK837" i="2"/>
  <c r="AK838" i="2"/>
  <c r="AK839" i="2"/>
  <c r="AK840" i="2"/>
  <c r="AK841" i="2"/>
  <c r="AK842" i="2"/>
  <c r="AK843" i="2"/>
  <c r="AK844" i="2"/>
  <c r="AK845" i="2"/>
  <c r="AK846" i="2"/>
  <c r="AK847" i="2"/>
  <c r="AK848" i="2"/>
  <c r="AK849" i="2"/>
  <c r="AK850" i="2"/>
  <c r="AK851" i="2"/>
  <c r="AK852" i="2"/>
  <c r="AK853" i="2"/>
  <c r="AK854" i="2"/>
  <c r="AK855" i="2"/>
  <c r="AK856" i="2"/>
  <c r="AK857" i="2"/>
  <c r="AK858" i="2"/>
  <c r="AK859" i="2"/>
  <c r="AK860" i="2"/>
  <c r="AK861" i="2"/>
  <c r="AK862" i="2"/>
  <c r="AK863" i="2"/>
  <c r="AK864" i="2"/>
  <c r="AK865" i="2"/>
  <c r="AK866" i="2"/>
  <c r="AK867" i="2"/>
  <c r="AK868" i="2"/>
  <c r="AK869" i="2"/>
  <c r="AK870" i="2"/>
  <c r="AK871" i="2"/>
  <c r="AK872" i="2"/>
  <c r="AK873" i="2"/>
  <c r="AK874" i="2"/>
  <c r="AK875" i="2"/>
  <c r="AK876" i="2"/>
  <c r="AK877" i="2"/>
  <c r="AK878" i="2"/>
  <c r="AK879" i="2"/>
  <c r="AK880" i="2"/>
  <c r="AK881" i="2"/>
  <c r="AK882" i="2"/>
  <c r="AK883" i="2"/>
  <c r="AK884" i="2"/>
  <c r="AK885" i="2"/>
  <c r="AK886" i="2"/>
  <c r="AK887" i="2"/>
  <c r="AK888" i="2"/>
  <c r="AK889" i="2"/>
  <c r="AK890" i="2"/>
  <c r="AK891" i="2"/>
  <c r="AK892" i="2"/>
  <c r="AK893" i="2"/>
  <c r="AK894" i="2"/>
  <c r="AK895" i="2"/>
  <c r="AK896" i="2"/>
  <c r="AK897" i="2"/>
  <c r="AK898" i="2"/>
  <c r="AK899" i="2"/>
  <c r="AK900" i="2"/>
  <c r="AK901" i="2"/>
  <c r="AK902" i="2"/>
  <c r="AK903" i="2"/>
  <c r="AK904" i="2"/>
  <c r="AK905" i="2"/>
  <c r="AK906" i="2"/>
  <c r="AK907" i="2"/>
  <c r="AK908" i="2"/>
  <c r="AK909" i="2"/>
  <c r="AK910" i="2"/>
  <c r="AK911" i="2"/>
  <c r="AK912" i="2"/>
  <c r="AK913" i="2"/>
  <c r="AK914" i="2"/>
  <c r="AK915" i="2"/>
  <c r="AK916" i="2"/>
  <c r="AK917" i="2"/>
  <c r="AK918" i="2"/>
  <c r="AK919" i="2"/>
  <c r="AK920" i="2"/>
  <c r="AK921" i="2"/>
  <c r="AK922" i="2"/>
  <c r="AK923" i="2"/>
  <c r="AK924" i="2"/>
  <c r="AK925" i="2"/>
  <c r="AK926" i="2"/>
  <c r="AK927" i="2"/>
  <c r="AK928" i="2"/>
  <c r="AK929" i="2"/>
  <c r="AK930" i="2"/>
  <c r="AK931" i="2"/>
  <c r="AK932" i="2"/>
  <c r="AK933" i="2"/>
  <c r="AK934" i="2"/>
  <c r="AK935" i="2"/>
  <c r="AK936" i="2"/>
  <c r="AK937" i="2"/>
  <c r="AK938" i="2"/>
  <c r="AK939" i="2"/>
  <c r="AK940" i="2"/>
  <c r="AK941" i="2"/>
  <c r="AK942" i="2"/>
  <c r="AK943" i="2"/>
  <c r="AK944" i="2"/>
  <c r="AK945" i="2"/>
  <c r="AK946" i="2"/>
  <c r="AK947" i="2"/>
  <c r="AK948" i="2"/>
  <c r="AK949" i="2"/>
  <c r="AK950" i="2"/>
  <c r="AK951" i="2"/>
  <c r="AK952" i="2"/>
  <c r="AK953" i="2"/>
  <c r="AK954" i="2"/>
  <c r="AK955" i="2"/>
  <c r="AK956" i="2"/>
  <c r="AK957" i="2"/>
  <c r="AK958" i="2"/>
  <c r="AK959" i="2"/>
  <c r="AK960" i="2"/>
  <c r="AK961" i="2"/>
  <c r="AK962" i="2"/>
  <c r="AK963" i="2"/>
  <c r="AK964" i="2"/>
  <c r="AK965" i="2"/>
  <c r="AK966" i="2"/>
  <c r="AK967" i="2"/>
  <c r="AK968" i="2"/>
  <c r="AK969" i="2"/>
  <c r="AK970" i="2"/>
  <c r="AK971" i="2"/>
  <c r="AK972" i="2"/>
  <c r="AK973" i="2"/>
  <c r="AK974" i="2"/>
  <c r="AK975" i="2"/>
  <c r="AK976" i="2"/>
  <c r="AK977" i="2"/>
  <c r="AK978" i="2"/>
  <c r="AK979" i="2"/>
  <c r="AK980" i="2"/>
  <c r="AK981" i="2"/>
  <c r="AK982" i="2"/>
  <c r="AK983" i="2"/>
  <c r="AK984" i="2"/>
  <c r="AK985" i="2"/>
  <c r="AK986" i="2"/>
  <c r="AK987" i="2"/>
  <c r="AK988" i="2"/>
  <c r="AK989" i="2"/>
  <c r="AK990" i="2"/>
  <c r="AK991" i="2"/>
  <c r="AK992" i="2"/>
  <c r="AK993" i="2"/>
  <c r="AK994" i="2"/>
  <c r="AK995" i="2"/>
  <c r="AK996" i="2"/>
  <c r="AK997" i="2"/>
  <c r="AK998" i="2"/>
  <c r="AK999" i="2"/>
  <c r="AK1000" i="2"/>
  <c r="AK1001" i="2"/>
  <c r="AK1002" i="2"/>
  <c r="AK1003" i="2"/>
  <c r="AK1004" i="2"/>
  <c r="AK1005" i="2"/>
  <c r="AK1006" i="2"/>
  <c r="AK1007" i="2"/>
  <c r="AK1008" i="2"/>
  <c r="AK1009" i="2"/>
  <c r="AK1010" i="2"/>
  <c r="AK1011" i="2"/>
  <c r="AK1012" i="2"/>
  <c r="AK1013" i="2"/>
  <c r="AK1014" i="2"/>
  <c r="AK1015" i="2"/>
  <c r="AK1016" i="2"/>
  <c r="AK1017" i="2"/>
  <c r="AK1018" i="2"/>
  <c r="AK1019" i="2"/>
  <c r="AK1020" i="2"/>
  <c r="AK1021" i="2"/>
  <c r="AK1022" i="2"/>
  <c r="AK1023" i="2"/>
  <c r="AK1024" i="2"/>
  <c r="AK1025" i="2"/>
  <c r="AK1026" i="2"/>
  <c r="AK1027" i="2"/>
  <c r="AK1028" i="2"/>
  <c r="AK1029" i="2"/>
  <c r="AK1030" i="2"/>
  <c r="AK1031" i="2"/>
  <c r="AK1032" i="2"/>
  <c r="AK1033" i="2"/>
  <c r="AK1034" i="2"/>
  <c r="AK1035" i="2"/>
  <c r="AK1036" i="2"/>
  <c r="AK1037" i="2"/>
  <c r="AK1038" i="2"/>
  <c r="AK1039" i="2"/>
  <c r="AK1040" i="2"/>
  <c r="AK1041" i="2"/>
  <c r="AK1042" i="2"/>
  <c r="AK1043" i="2"/>
  <c r="AK1044" i="2"/>
  <c r="AK1045" i="2"/>
  <c r="AK1046" i="2"/>
  <c r="AK1047" i="2"/>
  <c r="AK1048" i="2"/>
  <c r="AK1049" i="2"/>
  <c r="AK1050" i="2"/>
  <c r="AK1051" i="2"/>
  <c r="AK1052" i="2"/>
  <c r="AK1053" i="2"/>
  <c r="AK1054" i="2"/>
  <c r="AK1055" i="2"/>
  <c r="AK1056" i="2"/>
  <c r="AK1057" i="2"/>
  <c r="AK1058" i="2"/>
  <c r="AK1059" i="2"/>
  <c r="AK1060" i="2"/>
  <c r="AK1061" i="2"/>
  <c r="AK1062" i="2"/>
  <c r="AK1063" i="2"/>
  <c r="AK1064" i="2"/>
  <c r="AK1065" i="2"/>
  <c r="AK1066" i="2"/>
  <c r="AK1067" i="2"/>
  <c r="AK1068" i="2"/>
  <c r="AK1069" i="2"/>
  <c r="AK1070" i="2"/>
  <c r="AK1071" i="2"/>
  <c r="AK1072" i="2"/>
  <c r="AK1073" i="2"/>
  <c r="AK1074" i="2"/>
  <c r="AK1075" i="2"/>
  <c r="AK1076" i="2"/>
  <c r="AK1077" i="2"/>
  <c r="AK1078" i="2"/>
  <c r="AK1079" i="2"/>
  <c r="AK1080" i="2"/>
  <c r="AK1081" i="2"/>
  <c r="AK1082" i="2"/>
  <c r="AK1083" i="2"/>
  <c r="AK1084" i="2"/>
  <c r="AK1085" i="2"/>
  <c r="AK1086" i="2"/>
  <c r="AK1087" i="2"/>
  <c r="AK1088" i="2"/>
  <c r="AK1089" i="2"/>
  <c r="AK1090" i="2"/>
  <c r="AK1091" i="2"/>
  <c r="AK1092" i="2"/>
  <c r="AK1093" i="2"/>
  <c r="AK1094" i="2"/>
  <c r="AK1095" i="2"/>
  <c r="AK1096" i="2"/>
  <c r="AK1097" i="2"/>
  <c r="AK1098" i="2"/>
  <c r="AK1099" i="2"/>
  <c r="AK1100" i="2"/>
  <c r="AK1101" i="2"/>
  <c r="AK1102" i="2"/>
  <c r="AK1103" i="2"/>
  <c r="AK1104" i="2"/>
  <c r="AK1105" i="2"/>
  <c r="AK1106" i="2"/>
  <c r="AK1107" i="2"/>
  <c r="AK1108" i="2"/>
  <c r="AK1109" i="2"/>
  <c r="AK1110" i="2"/>
  <c r="AK1111" i="2"/>
  <c r="AK1112" i="2"/>
  <c r="AK1113" i="2"/>
  <c r="AK1114" i="2"/>
  <c r="AK1115" i="2"/>
  <c r="AK1116" i="2"/>
  <c r="AK1117" i="2"/>
  <c r="AK1118" i="2"/>
  <c r="AK1119" i="2"/>
  <c r="AK1120" i="2"/>
  <c r="AK1121" i="2"/>
  <c r="AK1122" i="2"/>
  <c r="AK1123" i="2"/>
  <c r="AK1124" i="2"/>
  <c r="AK1125" i="2"/>
  <c r="AK1126" i="2"/>
  <c r="AK1127" i="2"/>
  <c r="AK1128" i="2"/>
  <c r="AK1129" i="2"/>
  <c r="AK1130" i="2"/>
  <c r="AK1131" i="2"/>
  <c r="AK1132" i="2"/>
  <c r="AK1133" i="2"/>
  <c r="AK1134" i="2"/>
  <c r="AK1135" i="2"/>
  <c r="AK1136" i="2"/>
  <c r="AK1137" i="2"/>
  <c r="AK1138" i="2"/>
  <c r="AK1139" i="2"/>
  <c r="AK1140" i="2"/>
  <c r="AK1141" i="2"/>
  <c r="AK1142" i="2"/>
  <c r="AK1143" i="2"/>
  <c r="AK1144" i="2"/>
  <c r="AK1145" i="2"/>
  <c r="AK1146" i="2"/>
  <c r="AK1147" i="2"/>
  <c r="AK1148" i="2"/>
  <c r="AK1149" i="2"/>
  <c r="AK1150" i="2"/>
  <c r="AK1151" i="2"/>
  <c r="AK1152" i="2"/>
  <c r="AK1153" i="2"/>
  <c r="AK1154" i="2"/>
  <c r="AK1155" i="2"/>
  <c r="AK1156" i="2"/>
  <c r="AK1157" i="2"/>
  <c r="AK1158" i="2"/>
  <c r="AK1159" i="2"/>
  <c r="AK1160" i="2"/>
  <c r="AK1161" i="2"/>
  <c r="AK1162" i="2"/>
  <c r="AK1163" i="2"/>
  <c r="AK1164" i="2"/>
  <c r="AK1165" i="2"/>
  <c r="AK1166" i="2"/>
  <c r="AK1167" i="2"/>
  <c r="AK1168" i="2"/>
  <c r="AK1169" i="2"/>
  <c r="AK1170" i="2"/>
  <c r="AK1171" i="2"/>
  <c r="AK1172" i="2"/>
  <c r="AK1173" i="2"/>
  <c r="AK1174" i="2"/>
  <c r="AK1175" i="2"/>
  <c r="AK1176" i="2"/>
  <c r="AK1177" i="2"/>
  <c r="AK1178" i="2"/>
  <c r="AK1179" i="2"/>
  <c r="AK1180" i="2"/>
  <c r="AK1181" i="2"/>
  <c r="AK1182" i="2"/>
  <c r="AK1183" i="2"/>
  <c r="AK1184" i="2"/>
  <c r="AK1185" i="2"/>
  <c r="AK1186" i="2"/>
  <c r="AK1187" i="2"/>
  <c r="AK1188" i="2"/>
  <c r="AK1189" i="2"/>
  <c r="AK1190" i="2"/>
  <c r="AK1191" i="2"/>
  <c r="AK1192" i="2"/>
  <c r="AK1193" i="2"/>
  <c r="AK1194" i="2"/>
  <c r="AK1195" i="2"/>
  <c r="AK1196" i="2"/>
  <c r="AK1197" i="2"/>
  <c r="AK1198" i="2"/>
  <c r="AK1199" i="2"/>
  <c r="AK1200" i="2"/>
  <c r="AK1201" i="2"/>
  <c r="AK1202" i="2"/>
  <c r="AK1203" i="2"/>
  <c r="AK1204" i="2"/>
  <c r="AK1205" i="2"/>
  <c r="AK1206" i="2"/>
  <c r="AK1207" i="2"/>
  <c r="AK1208" i="2"/>
  <c r="AK1209" i="2"/>
  <c r="AK1210" i="2"/>
  <c r="AK1211" i="2"/>
  <c r="AK1212" i="2"/>
  <c r="AK1213" i="2"/>
  <c r="AK1214" i="2"/>
  <c r="AK1215" i="2"/>
  <c r="AK1216" i="2"/>
  <c r="AK1217" i="2"/>
  <c r="AK1218" i="2"/>
  <c r="AK1219" i="2"/>
  <c r="AK1220" i="2"/>
  <c r="AK1221" i="2"/>
  <c r="AK1222" i="2"/>
  <c r="AK1223" i="2"/>
  <c r="AK1224" i="2"/>
  <c r="AK1225" i="2"/>
  <c r="AK1226" i="2"/>
  <c r="AK1227" i="2"/>
  <c r="AK1228" i="2"/>
  <c r="AK1229" i="2"/>
  <c r="AK1230" i="2"/>
  <c r="AK1231" i="2"/>
  <c r="AK1232" i="2"/>
  <c r="AK1233" i="2"/>
  <c r="AK1234" i="2"/>
  <c r="AK1235" i="2"/>
  <c r="AK1236" i="2"/>
  <c r="AK1237" i="2"/>
  <c r="AK1238" i="2"/>
  <c r="AK1239" i="2"/>
  <c r="AK1240" i="2"/>
  <c r="AK1241" i="2"/>
  <c r="AK1242" i="2"/>
  <c r="AK1243" i="2"/>
  <c r="AK1244" i="2"/>
  <c r="AK1245" i="2"/>
  <c r="AK1246" i="2"/>
  <c r="AK1247" i="2"/>
  <c r="AK1248" i="2"/>
  <c r="AK1249" i="2"/>
  <c r="AK1250" i="2"/>
  <c r="AK1251" i="2"/>
  <c r="AK1252" i="2"/>
  <c r="AK1253" i="2"/>
  <c r="AK1254" i="2"/>
  <c r="AK1255" i="2"/>
  <c r="AK1256" i="2"/>
  <c r="AK1257" i="2"/>
  <c r="AK1258" i="2"/>
  <c r="AK1259" i="2"/>
  <c r="AK1260" i="2"/>
  <c r="AK1261" i="2"/>
  <c r="AK1262" i="2"/>
  <c r="AK1263" i="2"/>
  <c r="AK1264" i="2"/>
  <c r="AK1265" i="2"/>
  <c r="AK1266" i="2"/>
  <c r="AK1267" i="2"/>
  <c r="AK1268" i="2"/>
  <c r="AK1269" i="2"/>
  <c r="AK1270" i="2"/>
  <c r="AK1271" i="2"/>
  <c r="AK1272" i="2"/>
  <c r="AK1273" i="2"/>
  <c r="AK1274" i="2"/>
  <c r="AK1275" i="2"/>
  <c r="AK1276" i="2"/>
  <c r="AK1277" i="2"/>
  <c r="AK1278" i="2"/>
  <c r="AK1279" i="2"/>
  <c r="AK1280" i="2"/>
  <c r="AK1281" i="2"/>
  <c r="AK1282" i="2"/>
  <c r="AK1283" i="2"/>
  <c r="AK1284" i="2"/>
  <c r="AK1285" i="2"/>
  <c r="AK1286" i="2"/>
  <c r="AK1287" i="2"/>
  <c r="AK1288" i="2"/>
  <c r="AK1289" i="2"/>
  <c r="AK1290" i="2"/>
  <c r="AK1291" i="2"/>
  <c r="AK1292" i="2"/>
  <c r="AK1293" i="2"/>
  <c r="AK1294" i="2"/>
  <c r="AK1295" i="2"/>
  <c r="AK1296" i="2"/>
  <c r="AK1297" i="2"/>
  <c r="AK1298" i="2"/>
  <c r="AK1299" i="2"/>
  <c r="AK1300" i="2"/>
  <c r="AK1301" i="2"/>
  <c r="AK1302" i="2"/>
  <c r="AK1303" i="2"/>
  <c r="AK1304" i="2"/>
  <c r="AK1305" i="2"/>
  <c r="AK1306" i="2"/>
  <c r="AK1307" i="2"/>
  <c r="AK1308" i="2"/>
  <c r="AK1309" i="2"/>
  <c r="AK1310" i="2"/>
  <c r="AK1311" i="2"/>
  <c r="AK1312" i="2"/>
  <c r="AK1313" i="2"/>
  <c r="AK1314" i="2"/>
  <c r="AK1315" i="2"/>
  <c r="AK1316" i="2"/>
  <c r="AK1317" i="2"/>
  <c r="AK1318" i="2"/>
  <c r="AK1319" i="2"/>
  <c r="AK1320" i="2"/>
  <c r="AK1321" i="2"/>
  <c r="AK1322" i="2"/>
  <c r="AK1323" i="2"/>
  <c r="AK1324" i="2"/>
  <c r="AK1325" i="2"/>
  <c r="AK1326" i="2"/>
  <c r="AK1327" i="2"/>
  <c r="AK1328" i="2"/>
  <c r="AK1329" i="2"/>
  <c r="AK1330" i="2"/>
  <c r="AK1331" i="2"/>
  <c r="AK1332" i="2"/>
  <c r="AK1333" i="2"/>
  <c r="AK1334" i="2"/>
  <c r="AK1335" i="2"/>
  <c r="AK1336" i="2"/>
  <c r="AK1337" i="2"/>
  <c r="AK1338" i="2"/>
  <c r="AK1339" i="2"/>
  <c r="AK1340" i="2"/>
  <c r="AK1341" i="2"/>
  <c r="AK1342" i="2"/>
  <c r="AK1343" i="2"/>
  <c r="AK1344" i="2"/>
  <c r="AK1345" i="2"/>
  <c r="AK1346" i="2"/>
  <c r="AK1347" i="2"/>
  <c r="AK1348" i="2"/>
  <c r="AK1349" i="2"/>
  <c r="AK1350" i="2"/>
  <c r="AK1351" i="2"/>
  <c r="AK1352" i="2"/>
  <c r="AK1353" i="2"/>
  <c r="AK1354" i="2"/>
  <c r="AK1355" i="2"/>
  <c r="AK1356" i="2"/>
  <c r="AK1357" i="2"/>
  <c r="AK1358" i="2"/>
  <c r="AK1359" i="2"/>
  <c r="AK1360" i="2"/>
  <c r="AK1361" i="2"/>
  <c r="AK1362" i="2"/>
  <c r="AK1363" i="2"/>
  <c r="AK1364" i="2"/>
  <c r="AK1365" i="2"/>
  <c r="AK1366" i="2"/>
  <c r="AK1367" i="2"/>
  <c r="AK1368" i="2"/>
  <c r="AK1369" i="2"/>
  <c r="AK1370" i="2"/>
  <c r="AK1371" i="2"/>
  <c r="AK1372" i="2"/>
  <c r="AK1373" i="2"/>
  <c r="AK1374" i="2"/>
  <c r="AK1375" i="2"/>
  <c r="AK1376" i="2"/>
  <c r="AK1377" i="2"/>
  <c r="AK1378" i="2"/>
  <c r="AK1379" i="2"/>
  <c r="AK1380" i="2"/>
  <c r="AK1381" i="2"/>
  <c r="AK1382" i="2"/>
  <c r="AK1383" i="2"/>
  <c r="AK1384" i="2"/>
  <c r="AK1385" i="2"/>
  <c r="AK1386" i="2"/>
  <c r="AK1387" i="2"/>
  <c r="AK1388" i="2"/>
  <c r="AK1389" i="2"/>
  <c r="AK1390" i="2"/>
  <c r="AK1391" i="2"/>
  <c r="AK1392" i="2"/>
  <c r="AK1393" i="2"/>
  <c r="AK1394" i="2"/>
  <c r="AK1395" i="2"/>
  <c r="AK1396" i="2"/>
  <c r="AK1397" i="2"/>
  <c r="AK1398" i="2"/>
  <c r="AK1399" i="2"/>
  <c r="AK1400" i="2"/>
  <c r="AK1401" i="2"/>
  <c r="AK1402" i="2"/>
  <c r="AK1403" i="2"/>
  <c r="AK1404" i="2"/>
  <c r="AK1405" i="2"/>
  <c r="AK1406" i="2"/>
  <c r="AK1407" i="2"/>
  <c r="AK1408" i="2"/>
  <c r="AK1409" i="2"/>
  <c r="AK1410" i="2"/>
  <c r="AK1411" i="2"/>
  <c r="AK1412" i="2"/>
  <c r="AK1413" i="2"/>
  <c r="AK1414" i="2"/>
  <c r="AK1415" i="2"/>
  <c r="AK1416" i="2"/>
  <c r="AK1417" i="2"/>
  <c r="AK1418" i="2"/>
  <c r="AK1419" i="2"/>
  <c r="AK1420" i="2"/>
  <c r="AK1421" i="2"/>
  <c r="AK1422" i="2"/>
  <c r="AK1423" i="2"/>
  <c r="AK1424" i="2"/>
  <c r="AK1425" i="2"/>
  <c r="AK1426" i="2"/>
  <c r="AK1427" i="2"/>
  <c r="AK1428" i="2"/>
  <c r="AK1429" i="2"/>
  <c r="AK1430" i="2"/>
  <c r="AK1431" i="2"/>
  <c r="AK1432" i="2"/>
  <c r="AK1433" i="2"/>
  <c r="AK1434" i="2"/>
  <c r="AK1435" i="2"/>
  <c r="AK1436" i="2"/>
  <c r="AK1437" i="2"/>
  <c r="AK1438" i="2"/>
  <c r="AK1439" i="2"/>
  <c r="AK1440" i="2"/>
  <c r="AK1441" i="2"/>
  <c r="AK1442" i="2"/>
  <c r="AK1443" i="2"/>
  <c r="AK1444" i="2"/>
  <c r="AK1445" i="2"/>
  <c r="AK1446" i="2"/>
  <c r="AK1447" i="2"/>
  <c r="AK1448" i="2"/>
  <c r="AK1449" i="2"/>
  <c r="AK1450" i="2"/>
  <c r="AK1451" i="2"/>
  <c r="AK1452" i="2"/>
  <c r="AK1453" i="2"/>
  <c r="AK1454" i="2"/>
  <c r="AK1455" i="2"/>
  <c r="AK1456" i="2"/>
  <c r="AK1457" i="2"/>
  <c r="AK1458" i="2"/>
  <c r="AK1459" i="2"/>
  <c r="AK1460" i="2"/>
  <c r="AK1461" i="2"/>
  <c r="AK1462" i="2"/>
  <c r="AK1463" i="2"/>
  <c r="AK1464" i="2"/>
  <c r="AK1465" i="2"/>
  <c r="AK1466" i="2"/>
  <c r="AK1467" i="2"/>
  <c r="AK1468" i="2"/>
  <c r="AK1469" i="2"/>
  <c r="AK1470" i="2"/>
  <c r="AK147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  <c r="AJ519" i="2"/>
  <c r="AJ520" i="2"/>
  <c r="AJ521" i="2"/>
  <c r="AJ522" i="2"/>
  <c r="AJ523" i="2"/>
  <c r="AJ524" i="2"/>
  <c r="AJ525" i="2"/>
  <c r="AJ526" i="2"/>
  <c r="AJ527" i="2"/>
  <c r="AJ528" i="2"/>
  <c r="AJ529" i="2"/>
  <c r="AJ530" i="2"/>
  <c r="AJ531" i="2"/>
  <c r="AJ532" i="2"/>
  <c r="AJ533" i="2"/>
  <c r="AJ534" i="2"/>
  <c r="AJ535" i="2"/>
  <c r="AJ536" i="2"/>
  <c r="AJ537" i="2"/>
  <c r="AJ538" i="2"/>
  <c r="AJ539" i="2"/>
  <c r="AJ540" i="2"/>
  <c r="AJ541" i="2"/>
  <c r="AJ542" i="2"/>
  <c r="AJ543" i="2"/>
  <c r="AJ544" i="2"/>
  <c r="AJ545" i="2"/>
  <c r="AJ546" i="2"/>
  <c r="AJ547" i="2"/>
  <c r="AJ548" i="2"/>
  <c r="AJ549" i="2"/>
  <c r="AJ550" i="2"/>
  <c r="AJ551" i="2"/>
  <c r="AJ552" i="2"/>
  <c r="AJ553" i="2"/>
  <c r="AJ554" i="2"/>
  <c r="AJ555" i="2"/>
  <c r="AJ556" i="2"/>
  <c r="AJ557" i="2"/>
  <c r="AJ558" i="2"/>
  <c r="AJ559" i="2"/>
  <c r="AJ560" i="2"/>
  <c r="AJ561" i="2"/>
  <c r="AJ562" i="2"/>
  <c r="AJ563" i="2"/>
  <c r="AJ564" i="2"/>
  <c r="AJ565" i="2"/>
  <c r="AJ566" i="2"/>
  <c r="AJ567" i="2"/>
  <c r="AJ568" i="2"/>
  <c r="AJ569" i="2"/>
  <c r="AJ570" i="2"/>
  <c r="AJ571" i="2"/>
  <c r="AJ572" i="2"/>
  <c r="AJ573" i="2"/>
  <c r="AJ574" i="2"/>
  <c r="AJ575" i="2"/>
  <c r="AJ576" i="2"/>
  <c r="AJ577" i="2"/>
  <c r="AJ578" i="2"/>
  <c r="AJ579" i="2"/>
  <c r="AJ580" i="2"/>
  <c r="AJ581" i="2"/>
  <c r="AJ582" i="2"/>
  <c r="AJ583" i="2"/>
  <c r="AJ584" i="2"/>
  <c r="AJ585" i="2"/>
  <c r="AJ586" i="2"/>
  <c r="AJ587" i="2"/>
  <c r="AJ588" i="2"/>
  <c r="AJ589" i="2"/>
  <c r="AJ590" i="2"/>
  <c r="AJ591" i="2"/>
  <c r="AJ592" i="2"/>
  <c r="AJ593" i="2"/>
  <c r="AJ594" i="2"/>
  <c r="AJ595" i="2"/>
  <c r="AJ596" i="2"/>
  <c r="AJ597" i="2"/>
  <c r="AJ598" i="2"/>
  <c r="AJ599" i="2"/>
  <c r="AJ600" i="2"/>
  <c r="AJ601" i="2"/>
  <c r="AJ602" i="2"/>
  <c r="AJ603" i="2"/>
  <c r="AJ604" i="2"/>
  <c r="AJ605" i="2"/>
  <c r="AJ606" i="2"/>
  <c r="AJ607" i="2"/>
  <c r="AJ608" i="2"/>
  <c r="AJ609" i="2"/>
  <c r="AJ610" i="2"/>
  <c r="AJ611" i="2"/>
  <c r="AJ612" i="2"/>
  <c r="AJ613" i="2"/>
  <c r="AJ614" i="2"/>
  <c r="AJ615" i="2"/>
  <c r="AJ616" i="2"/>
  <c r="AJ617" i="2"/>
  <c r="AJ618" i="2"/>
  <c r="AJ619" i="2"/>
  <c r="AJ620" i="2"/>
  <c r="AJ621" i="2"/>
  <c r="AJ622" i="2"/>
  <c r="AJ623" i="2"/>
  <c r="AJ624" i="2"/>
  <c r="AJ625" i="2"/>
  <c r="AJ626" i="2"/>
  <c r="AJ627" i="2"/>
  <c r="AJ628" i="2"/>
  <c r="AJ629" i="2"/>
  <c r="AJ630" i="2"/>
  <c r="AJ631" i="2"/>
  <c r="AJ632" i="2"/>
  <c r="AJ633" i="2"/>
  <c r="AJ634" i="2"/>
  <c r="AJ635" i="2"/>
  <c r="AJ636" i="2"/>
  <c r="AJ637" i="2"/>
  <c r="AJ638" i="2"/>
  <c r="AJ639" i="2"/>
  <c r="AJ640" i="2"/>
  <c r="AJ641" i="2"/>
  <c r="AJ642" i="2"/>
  <c r="AJ643" i="2"/>
  <c r="AJ644" i="2"/>
  <c r="AJ645" i="2"/>
  <c r="AJ646" i="2"/>
  <c r="AJ647" i="2"/>
  <c r="AJ648" i="2"/>
  <c r="AJ649" i="2"/>
  <c r="AJ650" i="2"/>
  <c r="AJ651" i="2"/>
  <c r="AJ652" i="2"/>
  <c r="AJ653" i="2"/>
  <c r="AJ654" i="2"/>
  <c r="AJ655" i="2"/>
  <c r="AJ656" i="2"/>
  <c r="AJ657" i="2"/>
  <c r="AJ658" i="2"/>
  <c r="AJ659" i="2"/>
  <c r="AJ660" i="2"/>
  <c r="AJ661" i="2"/>
  <c r="AJ662" i="2"/>
  <c r="AJ663" i="2"/>
  <c r="AJ664" i="2"/>
  <c r="AJ665" i="2"/>
  <c r="AJ666" i="2"/>
  <c r="AJ667" i="2"/>
  <c r="AJ668" i="2"/>
  <c r="AJ669" i="2"/>
  <c r="AJ670" i="2"/>
  <c r="AJ671" i="2"/>
  <c r="AJ672" i="2"/>
  <c r="AJ673" i="2"/>
  <c r="AJ674" i="2"/>
  <c r="AJ675" i="2"/>
  <c r="AJ676" i="2"/>
  <c r="AJ677" i="2"/>
  <c r="AJ678" i="2"/>
  <c r="AJ679" i="2"/>
  <c r="AJ680" i="2"/>
  <c r="AJ681" i="2"/>
  <c r="AJ682" i="2"/>
  <c r="AJ683" i="2"/>
  <c r="AJ684" i="2"/>
  <c r="AJ685" i="2"/>
  <c r="AJ686" i="2"/>
  <c r="AJ687" i="2"/>
  <c r="AJ688" i="2"/>
  <c r="AJ689" i="2"/>
  <c r="AJ690" i="2"/>
  <c r="AJ691" i="2"/>
  <c r="AJ692" i="2"/>
  <c r="AJ693" i="2"/>
  <c r="AJ694" i="2"/>
  <c r="AJ695" i="2"/>
  <c r="AJ696" i="2"/>
  <c r="AJ697" i="2"/>
  <c r="AJ698" i="2"/>
  <c r="AJ699" i="2"/>
  <c r="AJ700" i="2"/>
  <c r="AJ701" i="2"/>
  <c r="AJ702" i="2"/>
  <c r="AJ703" i="2"/>
  <c r="AJ704" i="2"/>
  <c r="AJ705" i="2"/>
  <c r="AJ706" i="2"/>
  <c r="AJ707" i="2"/>
  <c r="AJ708" i="2"/>
  <c r="AJ709" i="2"/>
  <c r="AJ710" i="2"/>
  <c r="AJ711" i="2"/>
  <c r="AJ712" i="2"/>
  <c r="AJ713" i="2"/>
  <c r="AJ714" i="2"/>
  <c r="AJ715" i="2"/>
  <c r="AJ716" i="2"/>
  <c r="AJ717" i="2"/>
  <c r="AJ718" i="2"/>
  <c r="AJ719" i="2"/>
  <c r="AJ720" i="2"/>
  <c r="AJ721" i="2"/>
  <c r="AJ722" i="2"/>
  <c r="AJ723" i="2"/>
  <c r="AJ724" i="2"/>
  <c r="AJ725" i="2"/>
  <c r="AJ726" i="2"/>
  <c r="AJ727" i="2"/>
  <c r="AJ728" i="2"/>
  <c r="AJ729" i="2"/>
  <c r="AJ730" i="2"/>
  <c r="AJ731" i="2"/>
  <c r="AJ732" i="2"/>
  <c r="AJ733" i="2"/>
  <c r="AJ734" i="2"/>
  <c r="AJ735" i="2"/>
  <c r="AJ736" i="2"/>
  <c r="AJ737" i="2"/>
  <c r="AJ738" i="2"/>
  <c r="AJ739" i="2"/>
  <c r="AJ740" i="2"/>
  <c r="AJ741" i="2"/>
  <c r="AJ742" i="2"/>
  <c r="AJ743" i="2"/>
  <c r="AJ744" i="2"/>
  <c r="AJ745" i="2"/>
  <c r="AJ746" i="2"/>
  <c r="AJ747" i="2"/>
  <c r="AJ748" i="2"/>
  <c r="AJ749" i="2"/>
  <c r="AJ750" i="2"/>
  <c r="AJ751" i="2"/>
  <c r="AJ752" i="2"/>
  <c r="AJ753" i="2"/>
  <c r="AJ754" i="2"/>
  <c r="AJ755" i="2"/>
  <c r="AJ756" i="2"/>
  <c r="AJ757" i="2"/>
  <c r="AJ758" i="2"/>
  <c r="AJ759" i="2"/>
  <c r="AJ760" i="2"/>
  <c r="AJ761" i="2"/>
  <c r="AJ762" i="2"/>
  <c r="AJ763" i="2"/>
  <c r="AJ764" i="2"/>
  <c r="AJ765" i="2"/>
  <c r="AJ766" i="2"/>
  <c r="AJ767" i="2"/>
  <c r="AJ768" i="2"/>
  <c r="AJ769" i="2"/>
  <c r="AJ770" i="2"/>
  <c r="AJ771" i="2"/>
  <c r="AJ772" i="2"/>
  <c r="AJ773" i="2"/>
  <c r="AJ774" i="2"/>
  <c r="AJ775" i="2"/>
  <c r="AJ776" i="2"/>
  <c r="AJ777" i="2"/>
  <c r="AJ778" i="2"/>
  <c r="AJ779" i="2"/>
  <c r="AJ780" i="2"/>
  <c r="AJ781" i="2"/>
  <c r="AJ782" i="2"/>
  <c r="AJ783" i="2"/>
  <c r="AJ784" i="2"/>
  <c r="AJ785" i="2"/>
  <c r="AJ786" i="2"/>
  <c r="AJ787" i="2"/>
  <c r="AJ788" i="2"/>
  <c r="AJ789" i="2"/>
  <c r="AJ790" i="2"/>
  <c r="AJ791" i="2"/>
  <c r="AJ792" i="2"/>
  <c r="AJ793" i="2"/>
  <c r="AJ794" i="2"/>
  <c r="AJ795" i="2"/>
  <c r="AJ796" i="2"/>
  <c r="AJ797" i="2"/>
  <c r="AJ798" i="2"/>
  <c r="AJ799" i="2"/>
  <c r="AJ800" i="2"/>
  <c r="AJ801" i="2"/>
  <c r="AJ802" i="2"/>
  <c r="AJ803" i="2"/>
  <c r="AJ804" i="2"/>
  <c r="AJ805" i="2"/>
  <c r="AJ806" i="2"/>
  <c r="AJ807" i="2"/>
  <c r="AJ808" i="2"/>
  <c r="AJ809" i="2"/>
  <c r="AJ810" i="2"/>
  <c r="AJ811" i="2"/>
  <c r="AJ812" i="2"/>
  <c r="AJ813" i="2"/>
  <c r="AJ814" i="2"/>
  <c r="AJ815" i="2"/>
  <c r="AJ816" i="2"/>
  <c r="AJ817" i="2"/>
  <c r="AJ818" i="2"/>
  <c r="AJ819" i="2"/>
  <c r="AJ820" i="2"/>
  <c r="AJ821" i="2"/>
  <c r="AJ822" i="2"/>
  <c r="AJ823" i="2"/>
  <c r="AJ824" i="2"/>
  <c r="AJ825" i="2"/>
  <c r="AJ826" i="2"/>
  <c r="AJ827" i="2"/>
  <c r="AJ828" i="2"/>
  <c r="AJ829" i="2"/>
  <c r="AJ830" i="2"/>
  <c r="AJ831" i="2"/>
  <c r="AJ832" i="2"/>
  <c r="AJ833" i="2"/>
  <c r="AJ834" i="2"/>
  <c r="AJ835" i="2"/>
  <c r="AJ836" i="2"/>
  <c r="AJ837" i="2"/>
  <c r="AJ838" i="2"/>
  <c r="AJ839" i="2"/>
  <c r="AJ840" i="2"/>
  <c r="AJ841" i="2"/>
  <c r="AJ842" i="2"/>
  <c r="AJ843" i="2"/>
  <c r="AJ844" i="2"/>
  <c r="AJ845" i="2"/>
  <c r="AJ846" i="2"/>
  <c r="AJ847" i="2"/>
  <c r="AJ848" i="2"/>
  <c r="AJ849" i="2"/>
  <c r="AJ850" i="2"/>
  <c r="AJ851" i="2"/>
  <c r="AJ852" i="2"/>
  <c r="AJ853" i="2"/>
  <c r="AJ854" i="2"/>
  <c r="AJ855" i="2"/>
  <c r="AJ856" i="2"/>
  <c r="AJ857" i="2"/>
  <c r="AJ858" i="2"/>
  <c r="AJ859" i="2"/>
  <c r="AJ860" i="2"/>
  <c r="AJ861" i="2"/>
  <c r="AJ862" i="2"/>
  <c r="AJ863" i="2"/>
  <c r="AJ864" i="2"/>
  <c r="AJ865" i="2"/>
  <c r="AJ866" i="2"/>
  <c r="AJ867" i="2"/>
  <c r="AJ868" i="2"/>
  <c r="AJ869" i="2"/>
  <c r="AJ870" i="2"/>
  <c r="AJ871" i="2"/>
  <c r="AJ872" i="2"/>
  <c r="AJ873" i="2"/>
  <c r="AJ874" i="2"/>
  <c r="AJ875" i="2"/>
  <c r="AJ876" i="2"/>
  <c r="AJ877" i="2"/>
  <c r="AJ878" i="2"/>
  <c r="AJ879" i="2"/>
  <c r="AJ880" i="2"/>
  <c r="AJ881" i="2"/>
  <c r="AJ882" i="2"/>
  <c r="AJ883" i="2"/>
  <c r="AJ884" i="2"/>
  <c r="AJ885" i="2"/>
  <c r="AJ886" i="2"/>
  <c r="AJ887" i="2"/>
  <c r="AJ888" i="2"/>
  <c r="AJ889" i="2"/>
  <c r="AJ890" i="2"/>
  <c r="AJ891" i="2"/>
  <c r="AJ892" i="2"/>
  <c r="AJ893" i="2"/>
  <c r="AJ894" i="2"/>
  <c r="AJ895" i="2"/>
  <c r="AJ896" i="2"/>
  <c r="AJ897" i="2"/>
  <c r="AJ898" i="2"/>
  <c r="AJ899" i="2"/>
  <c r="AJ900" i="2"/>
  <c r="AJ901" i="2"/>
  <c r="AJ902" i="2"/>
  <c r="AJ903" i="2"/>
  <c r="AJ904" i="2"/>
  <c r="AJ905" i="2"/>
  <c r="AJ906" i="2"/>
  <c r="AJ907" i="2"/>
  <c r="AJ908" i="2"/>
  <c r="AJ909" i="2"/>
  <c r="AJ910" i="2"/>
  <c r="AJ911" i="2"/>
  <c r="AJ912" i="2"/>
  <c r="AJ913" i="2"/>
  <c r="AJ914" i="2"/>
  <c r="AJ915" i="2"/>
  <c r="AJ916" i="2"/>
  <c r="AJ917" i="2"/>
  <c r="AJ918" i="2"/>
  <c r="AJ919" i="2"/>
  <c r="AJ920" i="2"/>
  <c r="AJ921" i="2"/>
  <c r="AJ922" i="2"/>
  <c r="AJ923" i="2"/>
  <c r="AJ924" i="2"/>
  <c r="AJ925" i="2"/>
  <c r="AJ926" i="2"/>
  <c r="AJ927" i="2"/>
  <c r="AJ928" i="2"/>
  <c r="AJ929" i="2"/>
  <c r="AJ930" i="2"/>
  <c r="AJ931" i="2"/>
  <c r="AJ932" i="2"/>
  <c r="AJ933" i="2"/>
  <c r="AJ934" i="2"/>
  <c r="AJ935" i="2"/>
  <c r="AJ936" i="2"/>
  <c r="AJ937" i="2"/>
  <c r="AJ938" i="2"/>
  <c r="AJ939" i="2"/>
  <c r="AJ940" i="2"/>
  <c r="AJ941" i="2"/>
  <c r="AJ942" i="2"/>
  <c r="AJ943" i="2"/>
  <c r="AJ944" i="2"/>
  <c r="AJ945" i="2"/>
  <c r="AJ946" i="2"/>
  <c r="AJ947" i="2"/>
  <c r="AJ948" i="2"/>
  <c r="AJ949" i="2"/>
  <c r="AJ950" i="2"/>
  <c r="AJ951" i="2"/>
  <c r="AJ952" i="2"/>
  <c r="AJ953" i="2"/>
  <c r="AJ954" i="2"/>
  <c r="AJ955" i="2"/>
  <c r="AJ956" i="2"/>
  <c r="AJ957" i="2"/>
  <c r="AJ958" i="2"/>
  <c r="AJ959" i="2"/>
  <c r="AJ960" i="2"/>
  <c r="AJ961" i="2"/>
  <c r="AJ962" i="2"/>
  <c r="AJ963" i="2"/>
  <c r="AJ964" i="2"/>
  <c r="AJ965" i="2"/>
  <c r="AJ966" i="2"/>
  <c r="AJ967" i="2"/>
  <c r="AJ968" i="2"/>
  <c r="AJ969" i="2"/>
  <c r="AJ970" i="2"/>
  <c r="AJ971" i="2"/>
  <c r="AJ972" i="2"/>
  <c r="AJ973" i="2"/>
  <c r="AJ974" i="2"/>
  <c r="AJ975" i="2"/>
  <c r="AJ976" i="2"/>
  <c r="AJ977" i="2"/>
  <c r="AJ978" i="2"/>
  <c r="AJ979" i="2"/>
  <c r="AJ980" i="2"/>
  <c r="AJ981" i="2"/>
  <c r="AJ982" i="2"/>
  <c r="AJ983" i="2"/>
  <c r="AJ984" i="2"/>
  <c r="AJ985" i="2"/>
  <c r="AJ986" i="2"/>
  <c r="AJ987" i="2"/>
  <c r="AJ988" i="2"/>
  <c r="AJ989" i="2"/>
  <c r="AJ990" i="2"/>
  <c r="AJ991" i="2"/>
  <c r="AJ992" i="2"/>
  <c r="AJ993" i="2"/>
  <c r="AJ994" i="2"/>
  <c r="AJ995" i="2"/>
  <c r="AJ996" i="2"/>
  <c r="AJ997" i="2"/>
  <c r="AJ998" i="2"/>
  <c r="AJ999" i="2"/>
  <c r="AJ1000" i="2"/>
  <c r="AJ1001" i="2"/>
  <c r="AJ1002" i="2"/>
  <c r="AJ1003" i="2"/>
  <c r="AJ1004" i="2"/>
  <c r="AJ1005" i="2"/>
  <c r="AJ1006" i="2"/>
  <c r="AJ1007" i="2"/>
  <c r="AJ1008" i="2"/>
  <c r="AJ1009" i="2"/>
  <c r="AJ1010" i="2"/>
  <c r="AJ1011" i="2"/>
  <c r="AJ1012" i="2"/>
  <c r="AJ1013" i="2"/>
  <c r="AJ1014" i="2"/>
  <c r="AJ1015" i="2"/>
  <c r="AJ1016" i="2"/>
  <c r="AJ1017" i="2"/>
  <c r="AJ1018" i="2"/>
  <c r="AJ1019" i="2"/>
  <c r="AJ1020" i="2"/>
  <c r="AJ1021" i="2"/>
  <c r="AJ1022" i="2"/>
  <c r="AJ1023" i="2"/>
  <c r="AJ1024" i="2"/>
  <c r="AJ1025" i="2"/>
  <c r="AJ1026" i="2"/>
  <c r="AJ1027" i="2"/>
  <c r="AJ1028" i="2"/>
  <c r="AJ1029" i="2"/>
  <c r="AJ1030" i="2"/>
  <c r="AJ1031" i="2"/>
  <c r="AJ1032" i="2"/>
  <c r="AJ1033" i="2"/>
  <c r="AJ1034" i="2"/>
  <c r="AJ1035" i="2"/>
  <c r="AJ1036" i="2"/>
  <c r="AJ1037" i="2"/>
  <c r="AJ1038" i="2"/>
  <c r="AJ1039" i="2"/>
  <c r="AJ1040" i="2"/>
  <c r="AJ1041" i="2"/>
  <c r="AJ1042" i="2"/>
  <c r="AJ1043" i="2"/>
  <c r="AJ1044" i="2"/>
  <c r="AJ1045" i="2"/>
  <c r="AJ1046" i="2"/>
  <c r="AJ1047" i="2"/>
  <c r="AJ1048" i="2"/>
  <c r="AJ1049" i="2"/>
  <c r="AJ1050" i="2"/>
  <c r="AJ1051" i="2"/>
  <c r="AJ1052" i="2"/>
  <c r="AJ1053" i="2"/>
  <c r="AJ1054" i="2"/>
  <c r="AJ1055" i="2"/>
  <c r="AJ1056" i="2"/>
  <c r="AJ1057" i="2"/>
  <c r="AJ1058" i="2"/>
  <c r="AJ1059" i="2"/>
  <c r="AJ1060" i="2"/>
  <c r="AJ1061" i="2"/>
  <c r="AJ1062" i="2"/>
  <c r="AJ1063" i="2"/>
  <c r="AJ1064" i="2"/>
  <c r="AJ1065" i="2"/>
  <c r="AJ1066" i="2"/>
  <c r="AJ1067" i="2"/>
  <c r="AJ1068" i="2"/>
  <c r="AJ1069" i="2"/>
  <c r="AJ1070" i="2"/>
  <c r="AJ1071" i="2"/>
  <c r="AJ1072" i="2"/>
  <c r="AJ1073" i="2"/>
  <c r="AJ1074" i="2"/>
  <c r="AJ1075" i="2"/>
  <c r="AJ1076" i="2"/>
  <c r="AJ1077" i="2"/>
  <c r="AJ1078" i="2"/>
  <c r="AJ1079" i="2"/>
  <c r="AJ1080" i="2"/>
  <c r="AJ1081" i="2"/>
  <c r="AJ1082" i="2"/>
  <c r="AJ1083" i="2"/>
  <c r="AJ1084" i="2"/>
  <c r="AJ1085" i="2"/>
  <c r="AJ1086" i="2"/>
  <c r="AJ1087" i="2"/>
  <c r="AJ1088" i="2"/>
  <c r="AJ1089" i="2"/>
  <c r="AJ1090" i="2"/>
  <c r="AJ1091" i="2"/>
  <c r="AJ1092" i="2"/>
  <c r="AJ1093" i="2"/>
  <c r="AJ1094" i="2"/>
  <c r="AJ1095" i="2"/>
  <c r="AJ1096" i="2"/>
  <c r="AJ1097" i="2"/>
  <c r="AJ1098" i="2"/>
  <c r="AJ1099" i="2"/>
  <c r="AJ1100" i="2"/>
  <c r="AJ1101" i="2"/>
  <c r="AJ1102" i="2"/>
  <c r="AJ1103" i="2"/>
  <c r="AJ1104" i="2"/>
  <c r="AJ1105" i="2"/>
  <c r="AJ1106" i="2"/>
  <c r="AJ1107" i="2"/>
  <c r="AJ1108" i="2"/>
  <c r="AJ1109" i="2"/>
  <c r="AJ1110" i="2"/>
  <c r="AJ1111" i="2"/>
  <c r="AJ1112" i="2"/>
  <c r="AJ1113" i="2"/>
  <c r="AJ1114" i="2"/>
  <c r="AJ1115" i="2"/>
  <c r="AJ1116" i="2"/>
  <c r="AJ1117" i="2"/>
  <c r="AJ1118" i="2"/>
  <c r="AJ1119" i="2"/>
  <c r="AJ1120" i="2"/>
  <c r="AJ1121" i="2"/>
  <c r="AJ1122" i="2"/>
  <c r="AJ1123" i="2"/>
  <c r="AJ1124" i="2"/>
  <c r="AJ1125" i="2"/>
  <c r="AJ1126" i="2"/>
  <c r="AJ1127" i="2"/>
  <c r="AJ1128" i="2"/>
  <c r="AJ1129" i="2"/>
  <c r="AJ1130" i="2"/>
  <c r="AJ1131" i="2"/>
  <c r="AJ1132" i="2"/>
  <c r="AJ1133" i="2"/>
  <c r="AJ1134" i="2"/>
  <c r="AJ1135" i="2"/>
  <c r="AJ1136" i="2"/>
  <c r="AJ1137" i="2"/>
  <c r="AJ1138" i="2"/>
  <c r="AJ1139" i="2"/>
  <c r="AJ1140" i="2"/>
  <c r="AJ1141" i="2"/>
  <c r="AJ1142" i="2"/>
  <c r="AJ1143" i="2"/>
  <c r="AJ1144" i="2"/>
  <c r="AJ1145" i="2"/>
  <c r="AJ1146" i="2"/>
  <c r="AJ1147" i="2"/>
  <c r="AJ1148" i="2"/>
  <c r="AJ1149" i="2"/>
  <c r="AJ1150" i="2"/>
  <c r="AJ1151" i="2"/>
  <c r="AJ1152" i="2"/>
  <c r="AJ1153" i="2"/>
  <c r="AJ1154" i="2"/>
  <c r="AJ1155" i="2"/>
  <c r="AJ1156" i="2"/>
  <c r="AJ1157" i="2"/>
  <c r="AJ1158" i="2"/>
  <c r="AJ1159" i="2"/>
  <c r="AJ1160" i="2"/>
  <c r="AJ1161" i="2"/>
  <c r="AJ1162" i="2"/>
  <c r="AJ1163" i="2"/>
  <c r="AJ1164" i="2"/>
  <c r="AJ1165" i="2"/>
  <c r="AJ1166" i="2"/>
  <c r="AJ1167" i="2"/>
  <c r="AJ1168" i="2"/>
  <c r="AJ1169" i="2"/>
  <c r="AJ1170" i="2"/>
  <c r="AJ1171" i="2"/>
  <c r="AJ1172" i="2"/>
  <c r="AJ1173" i="2"/>
  <c r="AJ1174" i="2"/>
  <c r="AJ1175" i="2"/>
  <c r="AJ1176" i="2"/>
  <c r="AJ1177" i="2"/>
  <c r="AJ1178" i="2"/>
  <c r="AJ1179" i="2"/>
  <c r="AJ1180" i="2"/>
  <c r="AJ1181" i="2"/>
  <c r="AJ1182" i="2"/>
  <c r="AJ1183" i="2"/>
  <c r="AJ1184" i="2"/>
  <c r="AJ1185" i="2"/>
  <c r="AJ1186" i="2"/>
  <c r="AJ1187" i="2"/>
  <c r="AJ1188" i="2"/>
  <c r="AJ1189" i="2"/>
  <c r="AJ1190" i="2"/>
  <c r="AJ1191" i="2"/>
  <c r="AJ1192" i="2"/>
  <c r="AJ1193" i="2"/>
  <c r="AJ1194" i="2"/>
  <c r="AJ1195" i="2"/>
  <c r="AJ1196" i="2"/>
  <c r="AJ1197" i="2"/>
  <c r="AJ1198" i="2"/>
  <c r="AJ1199" i="2"/>
  <c r="AJ1200" i="2"/>
  <c r="AJ1201" i="2"/>
  <c r="AJ1202" i="2"/>
  <c r="AJ1203" i="2"/>
  <c r="AJ1204" i="2"/>
  <c r="AJ1205" i="2"/>
  <c r="AJ1206" i="2"/>
  <c r="AJ1207" i="2"/>
  <c r="AJ1208" i="2"/>
  <c r="AJ1209" i="2"/>
  <c r="AJ1210" i="2"/>
  <c r="AJ1211" i="2"/>
  <c r="AJ1212" i="2"/>
  <c r="AJ1213" i="2"/>
  <c r="AJ1214" i="2"/>
  <c r="AJ1215" i="2"/>
  <c r="AJ1216" i="2"/>
  <c r="AJ1217" i="2"/>
  <c r="AJ1218" i="2"/>
  <c r="AJ1219" i="2"/>
  <c r="AJ1220" i="2"/>
  <c r="AJ1221" i="2"/>
  <c r="AJ1222" i="2"/>
  <c r="AJ1223" i="2"/>
  <c r="AJ1224" i="2"/>
  <c r="AJ1225" i="2"/>
  <c r="AJ1226" i="2"/>
  <c r="AJ1227" i="2"/>
  <c r="AJ1228" i="2"/>
  <c r="AJ1229" i="2"/>
  <c r="AJ1230" i="2"/>
  <c r="AJ1231" i="2"/>
  <c r="AJ1232" i="2"/>
  <c r="AJ1233" i="2"/>
  <c r="AJ1234" i="2"/>
  <c r="AJ1235" i="2"/>
  <c r="AJ1236" i="2"/>
  <c r="AJ1237" i="2"/>
  <c r="AJ1238" i="2"/>
  <c r="AJ1239" i="2"/>
  <c r="AJ1240" i="2"/>
  <c r="AJ1241" i="2"/>
  <c r="AJ1242" i="2"/>
  <c r="AJ1243" i="2"/>
  <c r="AJ1244" i="2"/>
  <c r="AJ1245" i="2"/>
  <c r="AJ1246" i="2"/>
  <c r="AJ1247" i="2"/>
  <c r="AJ1248" i="2"/>
  <c r="AJ1249" i="2"/>
  <c r="AJ1250" i="2"/>
  <c r="AJ1251" i="2"/>
  <c r="AJ1252" i="2"/>
  <c r="AJ1253" i="2"/>
  <c r="AJ1254" i="2"/>
  <c r="AJ1255" i="2"/>
  <c r="AJ1256" i="2"/>
  <c r="AJ1257" i="2"/>
  <c r="AJ1258" i="2"/>
  <c r="AJ1259" i="2"/>
  <c r="AJ1260" i="2"/>
  <c r="AJ1261" i="2"/>
  <c r="AJ1262" i="2"/>
  <c r="AJ1263" i="2"/>
  <c r="AJ1264" i="2"/>
  <c r="AJ1265" i="2"/>
  <c r="AJ1266" i="2"/>
  <c r="AJ1267" i="2"/>
  <c r="AJ1268" i="2"/>
  <c r="AJ1269" i="2"/>
  <c r="AJ1270" i="2"/>
  <c r="AJ1271" i="2"/>
  <c r="AJ1272" i="2"/>
  <c r="AJ1273" i="2"/>
  <c r="AJ1274" i="2"/>
  <c r="AJ1275" i="2"/>
  <c r="AJ1276" i="2"/>
  <c r="AJ1277" i="2"/>
  <c r="AJ1278" i="2"/>
  <c r="AJ1279" i="2"/>
  <c r="AJ1280" i="2"/>
  <c r="AJ1281" i="2"/>
  <c r="AJ1282" i="2"/>
  <c r="AJ1283" i="2"/>
  <c r="AJ1284" i="2"/>
  <c r="AJ1285" i="2"/>
  <c r="AJ1286" i="2"/>
  <c r="AJ1287" i="2"/>
  <c r="AJ1288" i="2"/>
  <c r="AJ1289" i="2"/>
  <c r="AJ1290" i="2"/>
  <c r="AJ1291" i="2"/>
  <c r="AJ1292" i="2"/>
  <c r="AJ1293" i="2"/>
  <c r="AJ1294" i="2"/>
  <c r="AJ1295" i="2"/>
  <c r="AJ1296" i="2"/>
  <c r="AJ1297" i="2"/>
  <c r="AJ1298" i="2"/>
  <c r="AJ1299" i="2"/>
  <c r="AJ1300" i="2"/>
  <c r="AJ1301" i="2"/>
  <c r="AJ1302" i="2"/>
  <c r="AJ1303" i="2"/>
  <c r="AJ1304" i="2"/>
  <c r="AJ1305" i="2"/>
  <c r="AJ1306" i="2"/>
  <c r="AJ1307" i="2"/>
  <c r="AJ1308" i="2"/>
  <c r="AJ1309" i="2"/>
  <c r="AJ1310" i="2"/>
  <c r="AJ1311" i="2"/>
  <c r="AJ1312" i="2"/>
  <c r="AJ1313" i="2"/>
  <c r="AJ1314" i="2"/>
  <c r="AJ1315" i="2"/>
  <c r="AJ1316" i="2"/>
  <c r="AJ1317" i="2"/>
  <c r="AJ1318" i="2"/>
  <c r="AJ1319" i="2"/>
  <c r="AJ1320" i="2"/>
  <c r="AJ1321" i="2"/>
  <c r="AJ1322" i="2"/>
  <c r="AJ1323" i="2"/>
  <c r="AJ1324" i="2"/>
  <c r="AJ1325" i="2"/>
  <c r="AJ1326" i="2"/>
  <c r="AJ1327" i="2"/>
  <c r="AJ1328" i="2"/>
  <c r="AJ1329" i="2"/>
  <c r="AJ1330" i="2"/>
  <c r="AJ1331" i="2"/>
  <c r="AJ1332" i="2"/>
  <c r="AJ1333" i="2"/>
  <c r="AJ1334" i="2"/>
  <c r="AJ1335" i="2"/>
  <c r="AJ1336" i="2"/>
  <c r="AJ1337" i="2"/>
  <c r="AJ1338" i="2"/>
  <c r="AJ1339" i="2"/>
  <c r="AJ1340" i="2"/>
  <c r="AJ1341" i="2"/>
  <c r="AJ1342" i="2"/>
  <c r="AJ1343" i="2"/>
  <c r="AJ1344" i="2"/>
  <c r="AJ1345" i="2"/>
  <c r="AJ1346" i="2"/>
  <c r="AJ1347" i="2"/>
  <c r="AJ1348" i="2"/>
  <c r="AJ1349" i="2"/>
  <c r="AJ1350" i="2"/>
  <c r="AJ1351" i="2"/>
  <c r="AJ1352" i="2"/>
  <c r="AJ1353" i="2"/>
  <c r="AJ1354" i="2"/>
  <c r="AJ1355" i="2"/>
  <c r="AJ1356" i="2"/>
  <c r="AJ1357" i="2"/>
  <c r="AJ1358" i="2"/>
  <c r="AJ1359" i="2"/>
  <c r="AJ1360" i="2"/>
  <c r="AJ1361" i="2"/>
  <c r="AJ1362" i="2"/>
  <c r="AJ1363" i="2"/>
  <c r="AJ1364" i="2"/>
  <c r="AJ1365" i="2"/>
  <c r="AJ1366" i="2"/>
  <c r="AJ1367" i="2"/>
  <c r="AJ1368" i="2"/>
  <c r="AJ1369" i="2"/>
  <c r="AJ1370" i="2"/>
  <c r="AJ1371" i="2"/>
  <c r="AJ1372" i="2"/>
  <c r="AJ1373" i="2"/>
  <c r="AJ1374" i="2"/>
  <c r="AJ1375" i="2"/>
  <c r="AJ1376" i="2"/>
  <c r="AJ1377" i="2"/>
  <c r="AJ1378" i="2"/>
  <c r="AJ1379" i="2"/>
  <c r="AJ1380" i="2"/>
  <c r="AJ1381" i="2"/>
  <c r="AJ1382" i="2"/>
  <c r="AJ1383" i="2"/>
  <c r="AJ1384" i="2"/>
  <c r="AJ1385" i="2"/>
  <c r="AJ1386" i="2"/>
  <c r="AJ1387" i="2"/>
  <c r="AJ1388" i="2"/>
  <c r="AJ1389" i="2"/>
  <c r="AJ1390" i="2"/>
  <c r="AJ1391" i="2"/>
  <c r="AJ1392" i="2"/>
  <c r="AJ1393" i="2"/>
  <c r="AJ1394" i="2"/>
  <c r="AJ1395" i="2"/>
  <c r="AJ1396" i="2"/>
  <c r="AJ1397" i="2"/>
  <c r="AJ1398" i="2"/>
  <c r="AJ1399" i="2"/>
  <c r="AJ1400" i="2"/>
  <c r="AJ1401" i="2"/>
  <c r="AJ1402" i="2"/>
  <c r="AJ1403" i="2"/>
  <c r="AJ1404" i="2"/>
  <c r="AJ1405" i="2"/>
  <c r="AJ1406" i="2"/>
  <c r="AJ1407" i="2"/>
  <c r="AJ1408" i="2"/>
  <c r="AJ1409" i="2"/>
  <c r="AJ1410" i="2"/>
  <c r="AJ1411" i="2"/>
  <c r="AJ1412" i="2"/>
  <c r="AJ1413" i="2"/>
  <c r="AJ1414" i="2"/>
  <c r="AJ1415" i="2"/>
  <c r="AJ1416" i="2"/>
  <c r="AJ1417" i="2"/>
  <c r="AJ1418" i="2"/>
  <c r="AJ1419" i="2"/>
  <c r="AJ1420" i="2"/>
  <c r="AJ1421" i="2"/>
  <c r="AJ1422" i="2"/>
  <c r="AJ1423" i="2"/>
  <c r="AJ1424" i="2"/>
  <c r="AJ1425" i="2"/>
  <c r="AJ1426" i="2"/>
  <c r="AJ1427" i="2"/>
  <c r="AJ1428" i="2"/>
  <c r="AJ1429" i="2"/>
  <c r="AJ1430" i="2"/>
  <c r="AJ1431" i="2"/>
  <c r="AJ1432" i="2"/>
  <c r="AJ1433" i="2"/>
  <c r="AJ1434" i="2"/>
  <c r="AJ1435" i="2"/>
  <c r="AJ1436" i="2"/>
  <c r="AJ1437" i="2"/>
  <c r="AJ1438" i="2"/>
  <c r="AJ1439" i="2"/>
  <c r="AJ1440" i="2"/>
  <c r="AJ1441" i="2"/>
  <c r="AJ1442" i="2"/>
  <c r="AJ1443" i="2"/>
  <c r="AJ1444" i="2"/>
  <c r="AJ1445" i="2"/>
  <c r="AJ1446" i="2"/>
  <c r="AJ1447" i="2"/>
  <c r="AJ1448" i="2"/>
  <c r="AJ1449" i="2"/>
  <c r="AJ1450" i="2"/>
  <c r="AJ1451" i="2"/>
  <c r="AJ1452" i="2"/>
  <c r="AJ1453" i="2"/>
  <c r="AJ1454" i="2"/>
  <c r="AJ1455" i="2"/>
  <c r="AJ1456" i="2"/>
  <c r="AJ1457" i="2"/>
  <c r="AJ1458" i="2"/>
  <c r="AJ1459" i="2"/>
  <c r="AJ1460" i="2"/>
  <c r="AJ1461" i="2"/>
  <c r="AJ1462" i="2"/>
  <c r="AJ1463" i="2"/>
  <c r="AJ1464" i="2"/>
  <c r="AJ1465" i="2"/>
  <c r="AJ1466" i="2"/>
  <c r="AJ1467" i="2"/>
  <c r="AJ1468" i="2"/>
  <c r="AJ1469" i="2"/>
  <c r="AJ1470" i="2"/>
  <c r="AJ1471" i="2"/>
  <c r="AO8" i="2"/>
  <c r="AO7" i="2"/>
  <c r="AO5" i="2"/>
  <c r="AO4" i="2"/>
  <c r="AO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3ADED4-E603-4DF4-ADC2-71E5C4CA2AA5}" keepAlive="1" name="Query - HR Analytics" description="Connection to the 'HR Analytics' query in the workbook." type="5" refreshedVersion="8" background="1" saveData="1">
    <dbPr connection="Provider=Microsoft.Mashup.OleDb.1;Data Source=$Workbook$;Location=&quot;HR Analytics&quot;;Extended Properties=&quot;&quot;" command="SELECT * FROM [HR Analytics]"/>
  </connection>
  <connection id="2" xr16:uid="{A2F1C6E4-9361-41A3-AA4B-1B4021177FF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34D78376-9CC0-41F2-ADDB-AA0A69970C52}" name="WorksheetConnection_HR_Analytics.xlsx!HR_Data" type="102" refreshedVersion="8" minRefreshableVersion="5">
    <extLst>
      <ext xmlns:x15="http://schemas.microsoft.com/office/spreadsheetml/2010/11/main" uri="{DE250136-89BD-433C-8126-D09CA5730AF9}">
        <x15:connection id="HR_Data" autoDelete="1">
          <x15:rangePr sourceName="_xlcn.WorksheetConnection_HR_Analytics.xlsxHR_Data"/>
        </x15:connection>
      </ext>
    </extLst>
  </connection>
</connections>
</file>

<file path=xl/sharedStrings.xml><?xml version="1.0" encoding="utf-8"?>
<sst xmlns="http://schemas.openxmlformats.org/spreadsheetml/2006/main" count="13430" uniqueCount="96">
  <si>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</si>
  <si>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</si>
  <si>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</si>
  <si>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</si>
  <si>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</si>
  <si>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</si>
  <si>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</si>
  <si>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</si>
  <si>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</si>
  <si>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</si>
  <si>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</si>
  <si>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</si>
  <si>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</si>
  <si>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</si>
  <si>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</si>
  <si>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</si>
  <si>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</si>
  <si>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</si>
  <si>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</si>
  <si>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</si>
  <si>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</si>
  <si>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</si>
  <si>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</si>
  <si>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</si>
  <si>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</si>
  <si>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</si>
  <si>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</si>
  <si>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</si>
  <si>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</si>
  <si>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</si>
  <si>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</si>
  <si>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</si>
  <si>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</si>
  <si>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</si>
  <si>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</si>
  <si>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</si>
  <si>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</si>
  <si>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</si>
  <si>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</si>
  <si>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</si>
  <si>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</si>
  <si>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</si>
  <si>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</si>
  <si>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</si>
  <si>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</si>
  <si>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</si>
  <si>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</si>
  <si>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</si>
  <si>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</si>
  <si>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</si>
  <si>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</si>
  <si>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</si>
  <si>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</si>
  <si>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</si>
  <si>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</si>
  <si>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</si>
  <si>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</si>
  <si>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</si>
  <si>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</si>
  <si>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</si>
  <si>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</si>
  <si>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</si>
  <si>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 xml:space="preserve">total employee </t>
  </si>
  <si>
    <t>employee left</t>
  </si>
  <si>
    <t>attrition</t>
  </si>
  <si>
    <t>Avg Income (yes)</t>
  </si>
  <si>
    <t>Avg Income (no)</t>
  </si>
  <si>
    <t>Age_Group</t>
  </si>
  <si>
    <t>Income_Group</t>
  </si>
  <si>
    <t>Row Labels</t>
  </si>
  <si>
    <t>Grand Total</t>
  </si>
  <si>
    <t>Count of Attrition</t>
  </si>
  <si>
    <t>Count of EmployeeNumber</t>
  </si>
  <si>
    <t>Column Labels</t>
  </si>
  <si>
    <t>30-40</t>
  </si>
  <si>
    <t>41-50</t>
  </si>
  <si>
    <t>50+</t>
  </si>
  <si>
    <t>Under 30</t>
  </si>
  <si>
    <t>High</t>
  </si>
  <si>
    <t>Low</t>
  </si>
  <si>
    <t>Medium</t>
  </si>
  <si>
    <t>Sum of EmployeeNumber</t>
  </si>
  <si>
    <t>Tenure_Group</t>
  </si>
  <si>
    <t>&lt;2 Years</t>
  </si>
  <si>
    <t>10+ Years</t>
  </si>
  <si>
    <t>2-5 Years</t>
  </si>
  <si>
    <t>6-10 Years</t>
  </si>
  <si>
    <t>High Total</t>
  </si>
  <si>
    <t>Low Total</t>
  </si>
  <si>
    <t>Medium Total</t>
  </si>
  <si>
    <t>Overtime</t>
  </si>
  <si>
    <t>1 Total</t>
  </si>
  <si>
    <t>2 Total</t>
  </si>
  <si>
    <t>3 Total</t>
  </si>
  <si>
    <t>4 Total</t>
  </si>
  <si>
    <t>WLB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</si>
</sst>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pivotButton="1" applyNumberFormat="1"/>
    <xf numFmtId="9" fontId="0" fillId="0" borderId="0" xfId="0" applyNumberFormat="1"/>
  </cellXfs>
  <cellStyles count="2">
    <cellStyle name="Normal" xfId="0" builtinId="0"/>
    <cellStyle name="Percent" xfId="1" builtinId="5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powerPivotData" Target="model/item.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31.879334606485" createdVersion="8" refreshedVersion="8" minRefreshableVersion="3" recordCount="1470" xr:uid="{07CADA4E-AFA2-4FE6-B36A-9AD6CA8C2EFB}">
  <cacheSource type="worksheet">
    <worksheetSource name="HR_Data"/>
  </cacheSource>
  <cacheFields count="37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 count="1470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409"/>
        <n v="1411"/>
        <n v="1412"/>
        <n v="1415"/>
        <n v="1417"/>
        <n v="1419"/>
        <n v="1420"/>
        <n v="1421"/>
        <n v="1422"/>
        <n v="1423"/>
        <n v="1424"/>
        <n v="1425"/>
        <n v="1427"/>
        <n v="1428"/>
        <n v="1430"/>
        <n v="1431"/>
        <n v="1433"/>
        <n v="1434"/>
        <n v="1435"/>
        <n v="1436"/>
        <n v="1438"/>
        <n v="1439"/>
        <n v="1440"/>
        <n v="1441"/>
        <n v="1443"/>
        <n v="1445"/>
        <n v="1446"/>
        <n v="1447"/>
        <n v="1448"/>
        <n v="1449"/>
        <n v="1453"/>
        <n v="1457"/>
        <n v="1458"/>
        <n v="1459"/>
        <n v="1460"/>
        <n v="1461"/>
        <n v="1464"/>
        <n v="1465"/>
        <n v="1466"/>
        <n v="1467"/>
        <n v="1468"/>
        <n v="1469"/>
        <n v="1471"/>
        <n v="1472"/>
        <n v="1473"/>
        <n v="1474"/>
        <n v="1475"/>
        <n v="1477"/>
        <n v="1478"/>
        <n v="1479"/>
        <n v="1480"/>
        <n v="1481"/>
        <n v="1482"/>
        <n v="1483"/>
        <n v="1484"/>
        <n v="1485"/>
        <n v="1486"/>
        <n v="1487"/>
        <n v="1489"/>
        <n v="1492"/>
        <n v="1494"/>
        <n v="1495"/>
        <n v="1496"/>
        <n v="1497"/>
        <n v="1499"/>
        <n v="1501"/>
        <n v="1502"/>
        <n v="1503"/>
        <n v="1504"/>
        <n v="1506"/>
        <n v="1507"/>
        <n v="1509"/>
        <n v="1513"/>
        <n v="1514"/>
        <n v="1515"/>
        <n v="1516"/>
        <n v="1520"/>
        <n v="1522"/>
        <n v="1523"/>
        <n v="1525"/>
        <n v="1527"/>
        <n v="1529"/>
        <n v="1533"/>
        <n v="1534"/>
        <n v="1535"/>
        <n v="1537"/>
        <n v="1539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60"/>
        <n v="1562"/>
        <n v="1563"/>
        <n v="1564"/>
        <n v="1568"/>
        <n v="1569"/>
        <n v="1572"/>
        <n v="1573"/>
        <n v="1574"/>
        <n v="1576"/>
        <n v="1577"/>
        <n v="1578"/>
        <n v="1580"/>
        <n v="1581"/>
        <n v="1582"/>
        <n v="1583"/>
        <n v="1585"/>
        <n v="1586"/>
        <n v="1587"/>
        <n v="1588"/>
        <n v="1590"/>
        <n v="1591"/>
        <n v="1592"/>
        <n v="1594"/>
        <n v="1595"/>
        <n v="1596"/>
        <n v="1597"/>
        <n v="1598"/>
        <n v="1599"/>
        <n v="1601"/>
        <n v="1602"/>
        <n v="1604"/>
        <n v="1605"/>
        <n v="1606"/>
        <n v="1607"/>
        <n v="1608"/>
        <n v="1609"/>
        <n v="1611"/>
        <n v="1612"/>
        <n v="1613"/>
        <n v="1614"/>
        <n v="1615"/>
        <n v="1617"/>
        <n v="1618"/>
        <n v="1619"/>
        <n v="1621"/>
        <n v="1622"/>
        <n v="1623"/>
        <n v="1624"/>
        <n v="1625"/>
        <n v="1627"/>
        <n v="1628"/>
        <n v="1630"/>
        <n v="1631"/>
        <n v="1633"/>
        <n v="1635"/>
        <n v="1638"/>
        <n v="1639"/>
        <n v="1640"/>
        <n v="1641"/>
        <n v="1642"/>
        <n v="1644"/>
        <n v="1645"/>
        <n v="1646"/>
        <n v="1647"/>
        <n v="1648"/>
        <n v="1649"/>
        <n v="1650"/>
        <n v="1651"/>
        <n v="1653"/>
        <n v="1654"/>
        <n v="1655"/>
        <n v="1656"/>
        <n v="1657"/>
        <n v="1658"/>
        <n v="1659"/>
        <n v="1661"/>
        <n v="1662"/>
        <n v="1664"/>
        <n v="1665"/>
        <n v="1666"/>
        <n v="1667"/>
        <n v="1668"/>
        <n v="1669"/>
        <n v="1670"/>
        <n v="1671"/>
        <n v="1673"/>
        <n v="1674"/>
        <n v="1675"/>
        <n v="1676"/>
        <n v="1677"/>
        <n v="1678"/>
        <n v="1680"/>
        <n v="1681"/>
        <n v="1682"/>
        <n v="1683"/>
        <n v="1684"/>
        <n v="1687"/>
        <n v="1689"/>
        <n v="1691"/>
        <n v="1692"/>
        <n v="1693"/>
        <n v="1694"/>
        <n v="1696"/>
        <n v="1697"/>
        <n v="1698"/>
        <n v="1700"/>
        <n v="1701"/>
        <n v="1702"/>
        <n v="1703"/>
        <n v="1704"/>
        <n v="1706"/>
        <n v="1707"/>
        <n v="1708"/>
        <n v="1709"/>
        <n v="1710"/>
        <n v="1712"/>
        <n v="1714"/>
        <n v="1716"/>
        <n v="1718"/>
        <n v="1719"/>
        <n v="1720"/>
        <n v="1721"/>
        <n v="1722"/>
        <n v="1724"/>
        <n v="1725"/>
        <n v="1727"/>
        <n v="1728"/>
        <n v="1729"/>
        <n v="1731"/>
        <n v="1732"/>
        <n v="1733"/>
        <n v="1734"/>
        <n v="1735"/>
        <n v="1736"/>
        <n v="1737"/>
        <n v="1739"/>
        <n v="1740"/>
        <n v="1744"/>
        <n v="1745"/>
        <n v="1746"/>
        <n v="1747"/>
        <n v="1749"/>
        <n v="1751"/>
        <n v="1752"/>
        <n v="1753"/>
        <n v="1754"/>
        <n v="1755"/>
        <n v="1756"/>
        <n v="1757"/>
        <n v="1758"/>
        <n v="1760"/>
        <n v="1761"/>
        <n v="1762"/>
        <n v="1763"/>
        <n v="1764"/>
        <n v="1766"/>
        <n v="1767"/>
        <n v="1768"/>
        <n v="1770"/>
        <n v="1771"/>
        <n v="1772"/>
        <n v="1774"/>
        <n v="1775"/>
        <n v="1778"/>
        <n v="1779"/>
        <n v="1780"/>
        <n v="1782"/>
        <n v="1783"/>
        <n v="1784"/>
        <n v="1786"/>
        <n v="1787"/>
        <n v="1789"/>
        <n v="1790"/>
        <n v="1792"/>
        <n v="1794"/>
        <n v="1797"/>
        <n v="1798"/>
        <n v="1799"/>
        <n v="1800"/>
        <n v="1801"/>
        <n v="1802"/>
        <n v="1803"/>
        <n v="1804"/>
        <n v="1805"/>
        <n v="1807"/>
        <n v="1809"/>
        <n v="1812"/>
        <n v="1813"/>
        <n v="1814"/>
        <n v="1815"/>
        <n v="1816"/>
        <n v="1818"/>
        <n v="1821"/>
        <n v="1822"/>
        <n v="1823"/>
        <n v="1824"/>
        <n v="1826"/>
        <n v="1827"/>
        <n v="1829"/>
        <n v="1830"/>
        <n v="1833"/>
        <n v="1834"/>
        <n v="1835"/>
        <n v="1836"/>
        <n v="1837"/>
        <n v="1839"/>
        <n v="1842"/>
        <n v="1844"/>
        <n v="1845"/>
        <n v="1847"/>
        <n v="1849"/>
        <n v="1850"/>
        <n v="1852"/>
        <n v="1853"/>
        <n v="1854"/>
        <n v="1856"/>
        <n v="1857"/>
        <n v="1858"/>
        <n v="1859"/>
        <n v="1860"/>
        <n v="1862"/>
        <n v="1863"/>
        <n v="1864"/>
        <n v="1865"/>
        <n v="1866"/>
        <n v="1867"/>
        <n v="1868"/>
        <n v="1869"/>
        <n v="1870"/>
        <n v="1871"/>
        <n v="1873"/>
        <n v="1875"/>
        <n v="1876"/>
        <n v="1878"/>
        <n v="1880"/>
        <n v="1881"/>
        <n v="1882"/>
        <n v="1883"/>
        <n v="1885"/>
        <n v="1886"/>
        <n v="1888"/>
        <n v="1890"/>
        <n v="1892"/>
        <n v="1893"/>
        <n v="1898"/>
        <n v="1900"/>
        <n v="1903"/>
        <n v="1905"/>
        <n v="1907"/>
        <n v="1908"/>
        <n v="1909"/>
        <n v="1911"/>
        <n v="1912"/>
        <n v="1915"/>
        <n v="1916"/>
        <n v="1918"/>
        <n v="1922"/>
        <n v="1924"/>
        <n v="1927"/>
        <n v="1928"/>
        <n v="1929"/>
        <n v="1931"/>
        <n v="1932"/>
        <n v="1933"/>
        <n v="1934"/>
        <n v="1935"/>
        <n v="1936"/>
        <n v="1937"/>
        <n v="1938"/>
        <n v="1939"/>
        <n v="1940"/>
        <n v="1941"/>
        <n v="1943"/>
        <n v="1944"/>
        <n v="1945"/>
        <n v="1947"/>
        <n v="1948"/>
        <n v="1949"/>
        <n v="1950"/>
        <n v="1951"/>
        <n v="1952"/>
        <n v="1954"/>
        <n v="1955"/>
        <n v="1956"/>
        <n v="1960"/>
        <n v="1961"/>
        <n v="1962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9"/>
        <n v="1980"/>
        <n v="1981"/>
        <n v="1982"/>
        <n v="1985"/>
        <n v="1986"/>
        <n v="1987"/>
        <n v="1989"/>
        <n v="1992"/>
        <n v="1993"/>
        <n v="1994"/>
        <n v="1995"/>
        <n v="1996"/>
        <n v="1997"/>
        <n v="1998"/>
        <n v="1999"/>
        <n v="2000"/>
        <n v="2003"/>
        <n v="2007"/>
        <n v="2008"/>
        <n v="2009"/>
        <n v="2010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31"/>
        <n v="2032"/>
        <n v="2034"/>
        <n v="2035"/>
        <n v="2036"/>
        <n v="2037"/>
        <n v="2038"/>
        <n v="2040"/>
        <n v="2041"/>
        <n v="2044"/>
        <n v="2045"/>
        <n v="2046"/>
        <n v="2048"/>
        <n v="2049"/>
        <n v="2051"/>
        <n v="2052"/>
        <n v="2053"/>
        <n v="2054"/>
        <n v="2055"/>
        <n v="2056"/>
        <n v="2057"/>
        <n v="2060"/>
        <n v="2061"/>
        <n v="2062"/>
        <n v="2064"/>
        <n v="2065"/>
        <n v="2068"/>
      </sharedItems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ge_Group" numFmtId="0">
      <sharedItems count="4">
        <s v="41-50"/>
        <s v="30-40"/>
        <s v="Under 30"/>
        <s v="50+"/>
      </sharedItems>
    </cacheField>
    <cacheField name="Income_Group" numFmtId="0">
      <sharedItems count="3">
        <s v="Medium"/>
        <s v="Low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32.430478935188" backgroundQuery="1" createdVersion="8" refreshedVersion="8" minRefreshableVersion="3" recordCount="0" supportSubquery="1" supportAdvancedDrill="1" xr:uid="{B36CE085-5A07-44E3-B1A9-984D76849DBC}">
  <cacheSource type="external" connectionId="2"/>
  <cacheFields count="3">
    <cacheField name="[HR_Data].[Tenure_Group].[Tenure_Group]" caption="Tenure_Group" numFmtId="0" hierarchy="37" level="1">
      <sharedItems count="4">
        <s v="&lt;2 Years"/>
        <s v="10+ Years"/>
        <s v="2-5 Years"/>
        <s v="6-10 Years"/>
      </sharedItems>
    </cacheField>
    <cacheField name="[HR_Data].[Attrition].[Attrition]" caption="Attrition" numFmtId="0" hierarchy="1" level="1">
      <sharedItems count="2">
        <s v="No"/>
        <s v="Yes"/>
      </sharedItems>
    </cacheField>
    <cacheField name="[Measures].[Count of EmployeeNumber]" caption="Count of EmployeeNumber" numFmtId="0" hierarchy="41" level="32767"/>
  </cacheFields>
  <cacheHierarchies count="42">
    <cacheHierarchy uniqueName="[HR_Data].[Age]" caption="Age" attribute="1" defaultMemberUniqueName="[HR_Data].[Age].[All]" allUniqueName="[HR_Data].[Age].[All]" dimensionUniqueName="[HR_Data]" displayFolder="" count="0" memberValueDatatype="20" unbalanced="0"/>
    <cacheHierarchy uniqueName="[HR_Data].[Attrition]" caption="Attrition" attribute="1" defaultMemberUniqueName="[HR_Data].[Attrition].[All]" allUniqueName="[HR_Data].[Attrition].[All]" dimensionUniqueName="[HR_Data]" displayFolder="" count="2" memberValueDatatype="130" unbalanced="0">
      <fieldsUsage count="2">
        <fieldUsage x="-1"/>
        <fieldUsage x="1"/>
      </fieldsUsage>
    </cacheHierarchy>
    <cacheHierarchy uniqueName="[HR_Data].[BusinessTravel]" caption="BusinessTravel" attribute="1" defaultMemberUniqueName="[HR_Data].[BusinessTravel].[All]" allUniqueName="[HR_Data].[BusinessTravel].[All]" dimensionUniqueName="[HR_Data]" displayFolder="" count="0" memberValueDatatype="130" unbalanced="0"/>
    <cacheHierarchy uniqueName="[HR_Data].[DailyRate]" caption="DailyRate" attribute="1" defaultMemberUniqueName="[HR_Data].[DailyRate].[All]" allUniqueName="[HR_Data].[DailyRate].[All]" dimensionUniqueName="[HR_Data]" displayFolder="" count="0" memberValueDatatype="20" unbalanced="0"/>
    <cacheHierarchy uniqueName="[HR_Data].[Department]" caption="Department" attribute="1" defaultMemberUniqueName="[HR_Data].[Department].[All]" allUniqueName="[HR_Data].[Department].[All]" dimensionUniqueName="[HR_Data]" displayFolder="" count="0" memberValueDatatype="130" unbalanced="0"/>
    <cacheHierarchy uniqueName="[HR_Data].[DistanceFromHome]" caption="DistanceFromHome" attribute="1" defaultMemberUniqueName="[HR_Data].[DistanceFromHome].[All]" allUniqueName="[HR_Data].[DistanceFromHome].[All]" dimensionUniqueName="[HR_Data]" displayFolder="" count="0" memberValueDatatype="20" unbalanced="0"/>
    <cacheHierarchy uniqueName="[HR_Data].[Education]" caption="Education" attribute="1" defaultMemberUniqueName="[HR_Data].[Education].[All]" allUniqueName="[HR_Data].[Education].[All]" dimensionUniqueName="[HR_Data]" displayFolder="" count="0" memberValueDatatype="20" unbalanced="0"/>
    <cacheHierarchy uniqueName="[HR_Data].[EducationField]" caption="EducationField" attribute="1" defaultMemberUniqueName="[HR_Data].[EducationField].[All]" allUniqueName="[HR_Data].[EducationField].[All]" dimensionUniqueName="[HR_Data]" displayFolder="" count="0" memberValueDatatype="130" unbalanced="0"/>
    <cacheHierarchy uniqueName="[HR_Data].[EmployeeCount]" caption="EmployeeCount" attribute="1" defaultMemberUniqueName="[HR_Data].[EmployeeCount].[All]" allUniqueName="[HR_Data].[EmployeeCount].[All]" dimensionUniqueName="[HR_Data]" displayFolder="" count="0" memberValueDatatype="20" unbalanced="0"/>
    <cacheHierarchy uniqueName="[HR_Data].[EmployeeNumber]" caption="EmployeeNumber" attribute="1" defaultMemberUniqueName="[HR_Data].[EmployeeNumber].[All]" allUniqueName="[HR_Data].[EmployeeNumber].[All]" dimensionUniqueName="[HR_Data]" displayFolder="" count="0" memberValueDatatype="20" unbalanced="0"/>
    <cacheHierarchy uniqueName="[HR_Data].[EnvironmentSatisfaction]" caption="EnvironmentSatisfaction" attribute="1" defaultMemberUniqueName="[HR_Data].[EnvironmentSatisfaction].[All]" allUniqueName="[HR_Data].[EnvironmentSatisfaction].[All]" dimensionUniqueName="[HR_Data]" displayFolder="" count="0" memberValueDatatype="20" unbalanced="0"/>
    <cacheHierarchy uniqueName="[HR_Data].[Gender]" caption="Gender" attribute="1" defaultMemberUniqueName="[HR_Data].[Gender].[All]" allUniqueName="[HR_Data].[Gender].[All]" dimensionUniqueName="[HR_Data]" displayFolder="" count="0" memberValueDatatype="130" unbalanced="0"/>
    <cacheHierarchy uniqueName="[HR_Data].[HourlyRate]" caption="HourlyRate" attribute="1" defaultMemberUniqueName="[HR_Data].[HourlyRate].[All]" allUniqueName="[HR_Data].[HourlyRate].[All]" dimensionUniqueName="[HR_Data]" displayFolder="" count="0" memberValueDatatype="20" unbalanced="0"/>
    <cacheHierarchy uniqueName="[HR_Data].[JobInvolvement]" caption="JobInvolvement" attribute="1" defaultMemberUniqueName="[HR_Data].[JobInvolvement].[All]" allUniqueName="[HR_Data].[JobInvolvement].[All]" dimensionUniqueName="[HR_Data]" displayFolder="" count="0" memberValueDatatype="20" unbalanced="0"/>
    <cacheHierarchy uniqueName="[HR_Data].[JobLevel]" caption="JobLevel" attribute="1" defaultMemberUniqueName="[HR_Data].[JobLevel].[All]" allUniqueName="[HR_Data].[JobLevel].[All]" dimensionUniqueName="[HR_Data]" displayFolder="" count="0" memberValueDatatype="20" unbalanced="0"/>
    <cacheHierarchy uniqueName="[HR_Data].[JobRole]" caption="JobRole" attribute="1" defaultMemberUniqueName="[HR_Data].[JobRole].[All]" allUniqueName="[HR_Data].[JobRole].[All]" dimensionUniqueName="[HR_Data]" displayFolder="" count="0" memberValueDatatype="130" unbalanced="0"/>
    <cacheHierarchy uniqueName="[HR_Data].[JobSatisfaction]" caption="JobSatisfaction" attribute="1" defaultMemberUniqueName="[HR_Data].[JobSatisfaction].[All]" allUniqueName="[HR_Data].[JobSatisfaction].[All]" dimensionUniqueName="[HR_Data]" displayFolder="" count="0" memberValueDatatype="20" unbalanced="0"/>
    <cacheHierarchy uniqueName="[HR_Data].[MaritalStatus]" caption="MaritalStatus" attribute="1" defaultMemberUniqueName="[HR_Data].[MaritalStatus].[All]" allUniqueName="[HR_Data].[MaritalStatus].[All]" dimensionUniqueName="[HR_Data]" displayFolder="" count="0" memberValueDatatype="130" unbalanced="0"/>
    <cacheHierarchy uniqueName="[HR_Data].[MonthlyIncome]" caption="MonthlyIncome" attribute="1" defaultMemberUniqueName="[HR_Data].[MonthlyIncome].[All]" allUniqueName="[HR_Data].[MonthlyIncome].[All]" dimensionUniqueName="[HR_Data]" displayFolder="" count="0" memberValueDatatype="20" unbalanced="0"/>
    <cacheHierarchy uniqueName="[HR_Data].[MonthlyRate]" caption="MonthlyRate" attribute="1" defaultMemberUniqueName="[HR_Data].[MonthlyRate].[All]" allUniqueName="[HR_Data].[MonthlyRate].[All]" dimensionUniqueName="[HR_Data]" displayFolder="" count="0" memberValueDatatype="20" unbalanced="0"/>
    <cacheHierarchy uniqueName="[HR_Data].[NumCompaniesWorked]" caption="NumCompaniesWorked" attribute="1" defaultMemberUniqueName="[HR_Data].[NumCompaniesWorked].[All]" allUniqueName="[HR_Data].[NumCompaniesWorked].[All]" dimensionUniqueName="[HR_Data]" displayFolder="" count="0" memberValueDatatype="20" unbalanced="0"/>
    <cacheHierarchy uniqueName="[HR_Data].[Over18]" caption="Over18" attribute="1" defaultMemberUniqueName="[HR_Data].[Over18].[All]" allUniqueName="[HR_Data].[Over18].[All]" dimensionUniqueName="[HR_Data]" displayFolder="" count="0" memberValueDatatype="130" unbalanced="0"/>
    <cacheHierarchy uniqueName="[HR_Data].[OverTime]" caption="OverTime" attribute="1" defaultMemberUniqueName="[HR_Data].[OverTime].[All]" allUniqueName="[HR_Data].[OverTime].[All]" dimensionUniqueName="[HR_Data]" displayFolder="" count="0" memberValueDatatype="130" unbalanced="0"/>
    <cacheHierarchy uniqueName="[HR_Data].[PercentSalaryHike]" caption="PercentSalaryHike" attribute="1" defaultMemberUniqueName="[HR_Data].[PercentSalaryHike].[All]" allUniqueName="[HR_Data].[PercentSalaryHike].[All]" dimensionUniqueName="[HR_Data]" displayFolder="" count="0" memberValueDatatype="20" unbalanced="0"/>
    <cacheHierarchy uniqueName="[HR_Data].[PerformanceRating]" caption="PerformanceRating" attribute="1" defaultMemberUniqueName="[HR_Data].[PerformanceRating].[All]" allUniqueName="[HR_Data].[PerformanceRating].[All]" dimensionUniqueName="[HR_Data]" displayFolder="" count="0" memberValueDatatype="20" unbalanced="0"/>
    <cacheHierarchy uniqueName="[HR_Data].[RelationshipSatisfaction]" caption="RelationshipSatisfaction" attribute="1" defaultMemberUniqueName="[HR_Data].[RelationshipSatisfaction].[All]" allUniqueName="[HR_Data].[RelationshipSatisfaction].[All]" dimensionUniqueName="[HR_Data]" displayFolder="" count="0" memberValueDatatype="20" unbalanced="0"/>
    <cacheHierarchy uniqueName="[HR_Data].[StandardHours]" caption="StandardHours" attribute="1" defaultMemberUniqueName="[HR_Data].[StandardHours].[All]" allUniqueName="[HR_Data].[StandardHours].[All]" dimensionUniqueName="[HR_Data]" displayFolder="" count="0" memberValueDatatype="20" unbalanced="0"/>
    <cacheHierarchy uniqueName="[HR_Data].[StockOptionLevel]" caption="StockOptionLevel" attribute="1" defaultMemberUniqueName="[HR_Data].[StockOptionLevel].[All]" allUniqueName="[HR_Data].[StockOptionLevel].[All]" dimensionUniqueName="[HR_Data]" displayFolder="" count="0" memberValueDatatype="20" unbalanced="0"/>
    <cacheHierarchy uniqueName="[HR_Data].[TotalWorkingYears]" caption="TotalWorkingYears" attribute="1" defaultMemberUniqueName="[HR_Data].[TotalWorkingYears].[All]" allUniqueName="[HR_Data].[TotalWorkingYears].[All]" dimensionUniqueName="[HR_Data]" displayFolder="" count="0" memberValueDatatype="20" unbalanced="0"/>
    <cacheHierarchy uniqueName="[HR_Data].[TrainingTimesLastYear]" caption="TrainingTimesLastYear" attribute="1" defaultMemberUniqueName="[HR_Data].[TrainingTimesLastYear].[All]" allUniqueName="[HR_Data].[TrainingTimesLastYear].[All]" dimensionUniqueName="[HR_Data]" displayFolder="" count="0" memberValueDatatype="20" unbalanced="0"/>
    <cacheHierarchy uniqueName="[HR_Data].[WorkLifeBalance]" caption="WorkLifeBalance" attribute="1" defaultMemberUniqueName="[HR_Data].[WorkLifeBalance].[All]" allUniqueName="[HR_Data].[WorkLifeBalance].[All]" dimensionUniqueName="[HR_Data]" displayFolder="" count="0" memberValueDatatype="20" unbalanced="0"/>
    <cacheHierarchy uniqueName="[HR_Data].[YearsAtCompany]" caption="YearsAtCompany" attribute="1" defaultMemberUniqueName="[HR_Data].[YearsAtCompany].[All]" allUniqueName="[HR_Data].[YearsAtCompany].[All]" dimensionUniqueName="[HR_Data]" displayFolder="" count="0" memberValueDatatype="20" unbalanced="0"/>
    <cacheHierarchy uniqueName="[HR_Data].[YearsInCurrentRole]" caption="YearsInCurrentRole" attribute="1" defaultMemberUniqueName="[HR_Data].[YearsInCurrentRole].[All]" allUniqueName="[HR_Data].[YearsInCurrentRole].[All]" dimensionUniqueName="[HR_Data]" displayFolder="" count="0" memberValueDatatype="20" unbalanced="0"/>
    <cacheHierarchy uniqueName="[HR_Data].[YearsSinceLastPromotion]" caption="YearsSinceLastPromotion" attribute="1" defaultMemberUniqueName="[HR_Data].[YearsSinceLastPromotion].[All]" allUniqueName="[HR_Data].[YearsSinceLastPromotion].[All]" dimensionUniqueName="[HR_Data]" displayFolder="" count="0" memberValueDatatype="20" unbalanced="0"/>
    <cacheHierarchy uniqueName="[HR_Data].[YearsWithCurrManager]" caption="YearsWithCurrManager" attribute="1" defaultMemberUniqueName="[HR_Data].[YearsWithCurrManager].[All]" allUniqueName="[HR_Data].[YearsWithCurrManager].[All]" dimensionUniqueName="[HR_Data]" displayFolder="" count="0" memberValueDatatype="20" unbalanced="0"/>
    <cacheHierarchy uniqueName="[HR_Data].[Age_Group]" caption="Age_Group" attribute="1" defaultMemberUniqueName="[HR_Data].[Age_Group].[All]" allUniqueName="[HR_Data].[Age_Group].[All]" dimensionUniqueName="[HR_Data]" displayFolder="" count="0" memberValueDatatype="130" unbalanced="0"/>
    <cacheHierarchy uniqueName="[HR_Data].[Income_Group]" caption="Income_Group" attribute="1" defaultMemberUniqueName="[HR_Data].[Income_Group].[All]" allUniqueName="[HR_Data].[Income_Group].[All]" dimensionUniqueName="[HR_Data]" displayFolder="" count="0" memberValueDatatype="130" unbalanced="0"/>
    <cacheHierarchy uniqueName="[HR_Data].[Tenure_Group]" caption="Tenure_Group" attribute="1" defaultMemberUniqueName="[HR_Data].[Tenure_Group].[All]" allUniqueName="[HR_Data].[Tenure_Group].[All]" dimensionUniqueName="[HR_Data]" displayFolder="" count="2" memberValueDatatype="130" unbalanced="0">
      <fieldsUsage count="2">
        <fieldUsage x="-1"/>
        <fieldUsage x="0"/>
      </fieldsUsage>
    </cacheHierarchy>
    <cacheHierarchy uniqueName="[Measures].[__XL_Count HR_Data]" caption="__XL_Count HR_Data" measure="1" displayFolder="" measureGroup="HR_Data" count="0" hidden="1"/>
    <cacheHierarchy uniqueName="[Measures].[__No measures defined]" caption="__No measures defined" measure="1" displayFolder="" count="0" hidden="1"/>
    <cacheHierarchy uniqueName="[Measures].[Sum of EmployeeNumber]" caption="Sum of EmployeeNumber" measure="1" displayFolder="" measureGroup="HR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EmployeeNumber]" caption="Count of EmployeeNumber" measure="1" displayFolder="" measureGroup="HR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HR_Data" uniqueName="[HR_Data]" caption="HR_Data"/>
    <dimension measure="1" name="Measures" uniqueName="[Measures]" caption="Measures"/>
  </dimensions>
  <measureGroups count="1">
    <measureGroup name="HR_Data" caption="HR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32.607236458331" backgroundQuery="1" createdVersion="8" refreshedVersion="8" minRefreshableVersion="3" recordCount="0" supportSubquery="1" supportAdvancedDrill="1" xr:uid="{4359229C-4B0C-4E0C-9F29-3A800E0A46F1}">
  <cacheSource type="external" connectionId="2"/>
  <cacheFields count="4">
    <cacheField name="[HR_Data].[Age_Group].[Age_Group]" caption="Age_Group" numFmtId="0" hierarchy="35" level="1">
      <sharedItems count="4">
        <s v="30-40"/>
        <s v="41-50"/>
        <s v="50+"/>
        <s v="Under 30"/>
      </sharedItems>
    </cacheField>
    <cacheField name="[HR_Data].[Tenure_Group].[Tenure_Group]" caption="Tenure_Group" numFmtId="0" hierarchy="37" level="1">
      <sharedItems count="4">
        <s v="&lt;2 Years"/>
        <s v="10+ Years"/>
        <s v="2-5 Years"/>
        <s v="6-10 Years"/>
      </sharedItems>
    </cacheField>
    <cacheField name="[Measures].[Count of EmployeeNumber]" caption="Count of EmployeeNumber" numFmtId="0" hierarchy="41" level="32767"/>
    <cacheField name="[HR_Data].[Attrition].[Attrition]" caption="Attrition" numFmtId="0" hierarchy="1" level="1">
      <sharedItems count="2">
        <s v="No"/>
        <s v="Yes"/>
      </sharedItems>
    </cacheField>
  </cacheFields>
  <cacheHierarchies count="42">
    <cacheHierarchy uniqueName="[HR_Data].[Age]" caption="Age" attribute="1" defaultMemberUniqueName="[HR_Data].[Age].[All]" allUniqueName="[HR_Data].[Age].[All]" dimensionUniqueName="[HR_Data]" displayFolder="" count="0" memberValueDatatype="20" unbalanced="0"/>
    <cacheHierarchy uniqueName="[HR_Data].[Attrition]" caption="Attrition" attribute="1" defaultMemberUniqueName="[HR_Data].[Attrition].[All]" allUniqueName="[HR_Data].[Attrition].[All]" dimensionUniqueName="[HR_Data]" displayFolder="" count="2" memberValueDatatype="130" unbalanced="0">
      <fieldsUsage count="2">
        <fieldUsage x="-1"/>
        <fieldUsage x="3"/>
      </fieldsUsage>
    </cacheHierarchy>
    <cacheHierarchy uniqueName="[HR_Data].[BusinessTravel]" caption="BusinessTravel" attribute="1" defaultMemberUniqueName="[HR_Data].[BusinessTravel].[All]" allUniqueName="[HR_Data].[BusinessTravel].[All]" dimensionUniqueName="[HR_Data]" displayFolder="" count="0" memberValueDatatype="130" unbalanced="0"/>
    <cacheHierarchy uniqueName="[HR_Data].[DailyRate]" caption="DailyRate" attribute="1" defaultMemberUniqueName="[HR_Data].[DailyRate].[All]" allUniqueName="[HR_Data].[DailyRate].[All]" dimensionUniqueName="[HR_Data]" displayFolder="" count="0" memberValueDatatype="20" unbalanced="0"/>
    <cacheHierarchy uniqueName="[HR_Data].[Department]" caption="Department" attribute="1" defaultMemberUniqueName="[HR_Data].[Department].[All]" allUniqueName="[HR_Data].[Department].[All]" dimensionUniqueName="[HR_Data]" displayFolder="" count="0" memberValueDatatype="130" unbalanced="0"/>
    <cacheHierarchy uniqueName="[HR_Data].[DistanceFromHome]" caption="DistanceFromHome" attribute="1" defaultMemberUniqueName="[HR_Data].[DistanceFromHome].[All]" allUniqueName="[HR_Data].[DistanceFromHome].[All]" dimensionUniqueName="[HR_Data]" displayFolder="" count="0" memberValueDatatype="20" unbalanced="0"/>
    <cacheHierarchy uniqueName="[HR_Data].[Education]" caption="Education" attribute="1" defaultMemberUniqueName="[HR_Data].[Education].[All]" allUniqueName="[HR_Data].[Education].[All]" dimensionUniqueName="[HR_Data]" displayFolder="" count="0" memberValueDatatype="20" unbalanced="0"/>
    <cacheHierarchy uniqueName="[HR_Data].[EducationField]" caption="EducationField" attribute="1" defaultMemberUniqueName="[HR_Data].[EducationField].[All]" allUniqueName="[HR_Data].[EducationField].[All]" dimensionUniqueName="[HR_Data]" displayFolder="" count="0" memberValueDatatype="130" unbalanced="0"/>
    <cacheHierarchy uniqueName="[HR_Data].[EmployeeCount]" caption="EmployeeCount" attribute="1" defaultMemberUniqueName="[HR_Data].[EmployeeCount].[All]" allUniqueName="[HR_Data].[EmployeeCount].[All]" dimensionUniqueName="[HR_Data]" displayFolder="" count="0" memberValueDatatype="20" unbalanced="0"/>
    <cacheHierarchy uniqueName="[HR_Data].[EmployeeNumber]" caption="EmployeeNumber" attribute="1" defaultMemberUniqueName="[HR_Data].[EmployeeNumber].[All]" allUniqueName="[HR_Data].[EmployeeNumber].[All]" dimensionUniqueName="[HR_Data]" displayFolder="" count="0" memberValueDatatype="20" unbalanced="0"/>
    <cacheHierarchy uniqueName="[HR_Data].[EnvironmentSatisfaction]" caption="EnvironmentSatisfaction" attribute="1" defaultMemberUniqueName="[HR_Data].[EnvironmentSatisfaction].[All]" allUniqueName="[HR_Data].[EnvironmentSatisfaction].[All]" dimensionUniqueName="[HR_Data]" displayFolder="" count="0" memberValueDatatype="20" unbalanced="0"/>
    <cacheHierarchy uniqueName="[HR_Data].[Gender]" caption="Gender" attribute="1" defaultMemberUniqueName="[HR_Data].[Gender].[All]" allUniqueName="[HR_Data].[Gender].[All]" dimensionUniqueName="[HR_Data]" displayFolder="" count="0" memberValueDatatype="130" unbalanced="0"/>
    <cacheHierarchy uniqueName="[HR_Data].[HourlyRate]" caption="HourlyRate" attribute="1" defaultMemberUniqueName="[HR_Data].[HourlyRate].[All]" allUniqueName="[HR_Data].[HourlyRate].[All]" dimensionUniqueName="[HR_Data]" displayFolder="" count="0" memberValueDatatype="20" unbalanced="0"/>
    <cacheHierarchy uniqueName="[HR_Data].[JobInvolvement]" caption="JobInvolvement" attribute="1" defaultMemberUniqueName="[HR_Data].[JobInvolvement].[All]" allUniqueName="[HR_Data].[JobInvolvement].[All]" dimensionUniqueName="[HR_Data]" displayFolder="" count="0" memberValueDatatype="20" unbalanced="0"/>
    <cacheHierarchy uniqueName="[HR_Data].[JobLevel]" caption="JobLevel" attribute="1" defaultMemberUniqueName="[HR_Data].[JobLevel].[All]" allUniqueName="[HR_Data].[JobLevel].[All]" dimensionUniqueName="[HR_Data]" displayFolder="" count="0" memberValueDatatype="20" unbalanced="0"/>
    <cacheHierarchy uniqueName="[HR_Data].[JobRole]" caption="JobRole" attribute="1" defaultMemberUniqueName="[HR_Data].[JobRole].[All]" allUniqueName="[HR_Data].[JobRole].[All]" dimensionUniqueName="[HR_Data]" displayFolder="" count="0" memberValueDatatype="130" unbalanced="0"/>
    <cacheHierarchy uniqueName="[HR_Data].[JobSatisfaction]" caption="JobSatisfaction" attribute="1" defaultMemberUniqueName="[HR_Data].[JobSatisfaction].[All]" allUniqueName="[HR_Data].[JobSatisfaction].[All]" dimensionUniqueName="[HR_Data]" displayFolder="" count="0" memberValueDatatype="20" unbalanced="0"/>
    <cacheHierarchy uniqueName="[HR_Data].[MaritalStatus]" caption="MaritalStatus" attribute="1" defaultMemberUniqueName="[HR_Data].[MaritalStatus].[All]" allUniqueName="[HR_Data].[MaritalStatus].[All]" dimensionUniqueName="[HR_Data]" displayFolder="" count="0" memberValueDatatype="130" unbalanced="0"/>
    <cacheHierarchy uniqueName="[HR_Data].[MonthlyIncome]" caption="MonthlyIncome" attribute="1" defaultMemberUniqueName="[HR_Data].[MonthlyIncome].[All]" allUniqueName="[HR_Data].[MonthlyIncome].[All]" dimensionUniqueName="[HR_Data]" displayFolder="" count="0" memberValueDatatype="20" unbalanced="0"/>
    <cacheHierarchy uniqueName="[HR_Data].[MonthlyRate]" caption="MonthlyRate" attribute="1" defaultMemberUniqueName="[HR_Data].[MonthlyRate].[All]" allUniqueName="[HR_Data].[MonthlyRate].[All]" dimensionUniqueName="[HR_Data]" displayFolder="" count="0" memberValueDatatype="20" unbalanced="0"/>
    <cacheHierarchy uniqueName="[HR_Data].[NumCompaniesWorked]" caption="NumCompaniesWorked" attribute="1" defaultMemberUniqueName="[HR_Data].[NumCompaniesWorked].[All]" allUniqueName="[HR_Data].[NumCompaniesWorked].[All]" dimensionUniqueName="[HR_Data]" displayFolder="" count="0" memberValueDatatype="20" unbalanced="0"/>
    <cacheHierarchy uniqueName="[HR_Data].[Over18]" caption="Over18" attribute="1" defaultMemberUniqueName="[HR_Data].[Over18].[All]" allUniqueName="[HR_Data].[Over18].[All]" dimensionUniqueName="[HR_Data]" displayFolder="" count="0" memberValueDatatype="130" unbalanced="0"/>
    <cacheHierarchy uniqueName="[HR_Data].[OverTime]" caption="OverTime" attribute="1" defaultMemberUniqueName="[HR_Data].[OverTime].[All]" allUniqueName="[HR_Data].[OverTime].[All]" dimensionUniqueName="[HR_Data]" displayFolder="" count="0" memberValueDatatype="130" unbalanced="0"/>
    <cacheHierarchy uniqueName="[HR_Data].[PercentSalaryHike]" caption="PercentSalaryHike" attribute="1" defaultMemberUniqueName="[HR_Data].[PercentSalaryHike].[All]" allUniqueName="[HR_Data].[PercentSalaryHike].[All]" dimensionUniqueName="[HR_Data]" displayFolder="" count="0" memberValueDatatype="20" unbalanced="0"/>
    <cacheHierarchy uniqueName="[HR_Data].[PerformanceRating]" caption="PerformanceRating" attribute="1" defaultMemberUniqueName="[HR_Data].[PerformanceRating].[All]" allUniqueName="[HR_Data].[PerformanceRating].[All]" dimensionUniqueName="[HR_Data]" displayFolder="" count="0" memberValueDatatype="20" unbalanced="0"/>
    <cacheHierarchy uniqueName="[HR_Data].[RelationshipSatisfaction]" caption="RelationshipSatisfaction" attribute="1" defaultMemberUniqueName="[HR_Data].[RelationshipSatisfaction].[All]" allUniqueName="[HR_Data].[RelationshipSatisfaction].[All]" dimensionUniqueName="[HR_Data]" displayFolder="" count="0" memberValueDatatype="20" unbalanced="0"/>
    <cacheHierarchy uniqueName="[HR_Data].[StandardHours]" caption="StandardHours" attribute="1" defaultMemberUniqueName="[HR_Data].[StandardHours].[All]" allUniqueName="[HR_Data].[StandardHours].[All]" dimensionUniqueName="[HR_Data]" displayFolder="" count="0" memberValueDatatype="20" unbalanced="0"/>
    <cacheHierarchy uniqueName="[HR_Data].[StockOptionLevel]" caption="StockOptionLevel" attribute="1" defaultMemberUniqueName="[HR_Data].[StockOptionLevel].[All]" allUniqueName="[HR_Data].[StockOptionLevel].[All]" dimensionUniqueName="[HR_Data]" displayFolder="" count="0" memberValueDatatype="20" unbalanced="0"/>
    <cacheHierarchy uniqueName="[HR_Data].[TotalWorkingYears]" caption="TotalWorkingYears" attribute="1" defaultMemberUniqueName="[HR_Data].[TotalWorkingYears].[All]" allUniqueName="[HR_Data].[TotalWorkingYears].[All]" dimensionUniqueName="[HR_Data]" displayFolder="" count="0" memberValueDatatype="20" unbalanced="0"/>
    <cacheHierarchy uniqueName="[HR_Data].[TrainingTimesLastYear]" caption="TrainingTimesLastYear" attribute="1" defaultMemberUniqueName="[HR_Data].[TrainingTimesLastYear].[All]" allUniqueName="[HR_Data].[TrainingTimesLastYear].[All]" dimensionUniqueName="[HR_Data]" displayFolder="" count="0" memberValueDatatype="20" unbalanced="0"/>
    <cacheHierarchy uniqueName="[HR_Data].[WorkLifeBalance]" caption="WorkLifeBalance" attribute="1" defaultMemberUniqueName="[HR_Data].[WorkLifeBalance].[All]" allUniqueName="[HR_Data].[WorkLifeBalance].[All]" dimensionUniqueName="[HR_Data]" displayFolder="" count="0" memberValueDatatype="20" unbalanced="0"/>
    <cacheHierarchy uniqueName="[HR_Data].[YearsAtCompany]" caption="YearsAtCompany" attribute="1" defaultMemberUniqueName="[HR_Data].[YearsAtCompany].[All]" allUniqueName="[HR_Data].[YearsAtCompany].[All]" dimensionUniqueName="[HR_Data]" displayFolder="" count="0" memberValueDatatype="20" unbalanced="0"/>
    <cacheHierarchy uniqueName="[HR_Data].[YearsInCurrentRole]" caption="YearsInCurrentRole" attribute="1" defaultMemberUniqueName="[HR_Data].[YearsInCurrentRole].[All]" allUniqueName="[HR_Data].[YearsInCurrentRole].[All]" dimensionUniqueName="[HR_Data]" displayFolder="" count="0" memberValueDatatype="20" unbalanced="0"/>
    <cacheHierarchy uniqueName="[HR_Data].[YearsSinceLastPromotion]" caption="YearsSinceLastPromotion" attribute="1" defaultMemberUniqueName="[HR_Data].[YearsSinceLastPromotion].[All]" allUniqueName="[HR_Data].[YearsSinceLastPromotion].[All]" dimensionUniqueName="[HR_Data]" displayFolder="" count="0" memberValueDatatype="20" unbalanced="0"/>
    <cacheHierarchy uniqueName="[HR_Data].[YearsWithCurrManager]" caption="YearsWithCurrManager" attribute="1" defaultMemberUniqueName="[HR_Data].[YearsWithCurrManager].[All]" allUniqueName="[HR_Data].[YearsWithCurrManager].[All]" dimensionUniqueName="[HR_Data]" displayFolder="" count="0" memberValueDatatype="20" unbalanced="0"/>
    <cacheHierarchy uniqueName="[HR_Data].[Age_Group]" caption="Age_Group" attribute="1" defaultMemberUniqueName="[HR_Data].[Age_Group].[All]" allUniqueName="[HR_Data].[Age_Group].[All]" dimensionUniqueName="[HR_Data]" displayFolder="" count="2" memberValueDatatype="130" unbalanced="0">
      <fieldsUsage count="2">
        <fieldUsage x="-1"/>
        <fieldUsage x="0"/>
      </fieldsUsage>
    </cacheHierarchy>
    <cacheHierarchy uniqueName="[HR_Data].[Income_Group]" caption="Income_Group" attribute="1" defaultMemberUniqueName="[HR_Data].[Income_Group].[All]" allUniqueName="[HR_Data].[Income_Group].[All]" dimensionUniqueName="[HR_Data]" displayFolder="" count="0" memberValueDatatype="130" unbalanced="0"/>
    <cacheHierarchy uniqueName="[HR_Data].[Tenure_Group]" caption="Tenure_Group" attribute="1" defaultMemberUniqueName="[HR_Data].[Tenure_Group].[All]" allUniqueName="[HR_Data].[Tenure_Group].[All]" dimensionUniqueName="[HR_Data]" displayFolder="" count="2" memberValueDatatype="130" unbalanced="0">
      <fieldsUsage count="2">
        <fieldUsage x="-1"/>
        <fieldUsage x="1"/>
      </fieldsUsage>
    </cacheHierarchy>
    <cacheHierarchy uniqueName="[Measures].[__XL_Count HR_Data]" caption="__XL_Count HR_Data" measure="1" displayFolder="" measureGroup="HR_Data" count="0" hidden="1"/>
    <cacheHierarchy uniqueName="[Measures].[__No measures defined]" caption="__No measures defined" measure="1" displayFolder="" count="0" hidden="1"/>
    <cacheHierarchy uniqueName="[Measures].[Sum of EmployeeNumber]" caption="Sum of EmployeeNumber" measure="1" displayFolder="" measureGroup="HR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EmployeeNumber]" caption="Count of EmployeeNumber" measure="1" displayFolder="" measureGroup="HR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HR_Data" uniqueName="[HR_Data]" caption="HR_Data"/>
    <dimension measure="1" name="Measures" uniqueName="[Measures]" caption="Measures"/>
  </dimensions>
  <measureGroups count="1">
    <measureGroup name="HR_Data" caption="HR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32.610426736108" backgroundQuery="1" createdVersion="8" refreshedVersion="8" minRefreshableVersion="3" recordCount="0" supportSubquery="1" supportAdvancedDrill="1" xr:uid="{F8615BC3-244E-4314-B41B-FEB454AE7628}">
  <cacheSource type="external" connectionId="2"/>
  <cacheFields count="4">
    <cacheField name="[HR_Data].[Income_Group].[Income_Group]" caption="Income_Group" numFmtId="0" hierarchy="36" level="1">
      <sharedItems count="3">
        <s v="High"/>
        <s v="Low"/>
        <s v="Medium"/>
      </sharedItems>
    </cacheField>
    <cacheField name="[HR_Data].[OverTime].[OverTime]" caption="OverTime" numFmtId="0" hierarchy="22" level="1">
      <sharedItems count="2">
        <s v="No"/>
        <s v="Yes"/>
      </sharedItems>
    </cacheField>
    <cacheField name="[Measures].[Count of EmployeeNumber]" caption="Count of EmployeeNumber" numFmtId="0" hierarchy="41" level="32767"/>
    <cacheField name="[HR_Data].[Attrition].[Attrition]" caption="Attrition" numFmtId="0" hierarchy="1" level="1">
      <sharedItems count="2">
        <s v="No"/>
        <s v="Yes"/>
      </sharedItems>
    </cacheField>
  </cacheFields>
  <cacheHierarchies count="42">
    <cacheHierarchy uniqueName="[HR_Data].[Age]" caption="Age" attribute="1" defaultMemberUniqueName="[HR_Data].[Age].[All]" allUniqueName="[HR_Data].[Age].[All]" dimensionUniqueName="[HR_Data]" displayFolder="" count="0" memberValueDatatype="20" unbalanced="0"/>
    <cacheHierarchy uniqueName="[HR_Data].[Attrition]" caption="Attrition" attribute="1" defaultMemberUniqueName="[HR_Data].[Attrition].[All]" allUniqueName="[HR_Data].[Attrition].[All]" dimensionUniqueName="[HR_Data]" displayFolder="" count="2" memberValueDatatype="130" unbalanced="0">
      <fieldsUsage count="2">
        <fieldUsage x="-1"/>
        <fieldUsage x="3"/>
      </fieldsUsage>
    </cacheHierarchy>
    <cacheHierarchy uniqueName="[HR_Data].[BusinessTravel]" caption="BusinessTravel" attribute="1" defaultMemberUniqueName="[HR_Data].[BusinessTravel].[All]" allUniqueName="[HR_Data].[BusinessTravel].[All]" dimensionUniqueName="[HR_Data]" displayFolder="" count="0" memberValueDatatype="130" unbalanced="0"/>
    <cacheHierarchy uniqueName="[HR_Data].[DailyRate]" caption="DailyRate" attribute="1" defaultMemberUniqueName="[HR_Data].[DailyRate].[All]" allUniqueName="[HR_Data].[DailyRate].[All]" dimensionUniqueName="[HR_Data]" displayFolder="" count="0" memberValueDatatype="20" unbalanced="0"/>
    <cacheHierarchy uniqueName="[HR_Data].[Department]" caption="Department" attribute="1" defaultMemberUniqueName="[HR_Data].[Department].[All]" allUniqueName="[HR_Data].[Department].[All]" dimensionUniqueName="[HR_Data]" displayFolder="" count="0" memberValueDatatype="130" unbalanced="0"/>
    <cacheHierarchy uniqueName="[HR_Data].[DistanceFromHome]" caption="DistanceFromHome" attribute="1" defaultMemberUniqueName="[HR_Data].[DistanceFromHome].[All]" allUniqueName="[HR_Data].[DistanceFromHome].[All]" dimensionUniqueName="[HR_Data]" displayFolder="" count="0" memberValueDatatype="20" unbalanced="0"/>
    <cacheHierarchy uniqueName="[HR_Data].[Education]" caption="Education" attribute="1" defaultMemberUniqueName="[HR_Data].[Education].[All]" allUniqueName="[HR_Data].[Education].[All]" dimensionUniqueName="[HR_Data]" displayFolder="" count="0" memberValueDatatype="20" unbalanced="0"/>
    <cacheHierarchy uniqueName="[HR_Data].[EducationField]" caption="EducationField" attribute="1" defaultMemberUniqueName="[HR_Data].[EducationField].[All]" allUniqueName="[HR_Data].[EducationField].[All]" dimensionUniqueName="[HR_Data]" displayFolder="" count="0" memberValueDatatype="130" unbalanced="0"/>
    <cacheHierarchy uniqueName="[HR_Data].[EmployeeCount]" caption="EmployeeCount" attribute="1" defaultMemberUniqueName="[HR_Data].[EmployeeCount].[All]" allUniqueName="[HR_Data].[EmployeeCount].[All]" dimensionUniqueName="[HR_Data]" displayFolder="" count="0" memberValueDatatype="20" unbalanced="0"/>
    <cacheHierarchy uniqueName="[HR_Data].[EmployeeNumber]" caption="EmployeeNumber" attribute="1" defaultMemberUniqueName="[HR_Data].[EmployeeNumber].[All]" allUniqueName="[HR_Data].[EmployeeNumber].[All]" dimensionUniqueName="[HR_Data]" displayFolder="" count="0" memberValueDatatype="20" unbalanced="0"/>
    <cacheHierarchy uniqueName="[HR_Data].[EnvironmentSatisfaction]" caption="EnvironmentSatisfaction" attribute="1" defaultMemberUniqueName="[HR_Data].[EnvironmentSatisfaction].[All]" allUniqueName="[HR_Data].[EnvironmentSatisfaction].[All]" dimensionUniqueName="[HR_Data]" displayFolder="" count="0" memberValueDatatype="20" unbalanced="0"/>
    <cacheHierarchy uniqueName="[HR_Data].[Gender]" caption="Gender" attribute="1" defaultMemberUniqueName="[HR_Data].[Gender].[All]" allUniqueName="[HR_Data].[Gender].[All]" dimensionUniqueName="[HR_Data]" displayFolder="" count="0" memberValueDatatype="130" unbalanced="0"/>
    <cacheHierarchy uniqueName="[HR_Data].[HourlyRate]" caption="HourlyRate" attribute="1" defaultMemberUniqueName="[HR_Data].[HourlyRate].[All]" allUniqueName="[HR_Data].[HourlyRate].[All]" dimensionUniqueName="[HR_Data]" displayFolder="" count="0" memberValueDatatype="20" unbalanced="0"/>
    <cacheHierarchy uniqueName="[HR_Data].[JobInvolvement]" caption="JobInvolvement" attribute="1" defaultMemberUniqueName="[HR_Data].[JobInvolvement].[All]" allUniqueName="[HR_Data].[JobInvolvement].[All]" dimensionUniqueName="[HR_Data]" displayFolder="" count="0" memberValueDatatype="20" unbalanced="0"/>
    <cacheHierarchy uniqueName="[HR_Data].[JobLevel]" caption="JobLevel" attribute="1" defaultMemberUniqueName="[HR_Data].[JobLevel].[All]" allUniqueName="[HR_Data].[JobLevel].[All]" dimensionUniqueName="[HR_Data]" displayFolder="" count="0" memberValueDatatype="20" unbalanced="0"/>
    <cacheHierarchy uniqueName="[HR_Data].[JobRole]" caption="JobRole" attribute="1" defaultMemberUniqueName="[HR_Data].[JobRole].[All]" allUniqueName="[HR_Data].[JobRole].[All]" dimensionUniqueName="[HR_Data]" displayFolder="" count="0" memberValueDatatype="130" unbalanced="0"/>
    <cacheHierarchy uniqueName="[HR_Data].[JobSatisfaction]" caption="JobSatisfaction" attribute="1" defaultMemberUniqueName="[HR_Data].[JobSatisfaction].[All]" allUniqueName="[HR_Data].[JobSatisfaction].[All]" dimensionUniqueName="[HR_Data]" displayFolder="" count="0" memberValueDatatype="20" unbalanced="0"/>
    <cacheHierarchy uniqueName="[HR_Data].[MaritalStatus]" caption="MaritalStatus" attribute="1" defaultMemberUniqueName="[HR_Data].[MaritalStatus].[All]" allUniqueName="[HR_Data].[MaritalStatus].[All]" dimensionUniqueName="[HR_Data]" displayFolder="" count="0" memberValueDatatype="130" unbalanced="0"/>
    <cacheHierarchy uniqueName="[HR_Data].[MonthlyIncome]" caption="MonthlyIncome" attribute="1" defaultMemberUniqueName="[HR_Data].[MonthlyIncome].[All]" allUniqueName="[HR_Data].[MonthlyIncome].[All]" dimensionUniqueName="[HR_Data]" displayFolder="" count="0" memberValueDatatype="20" unbalanced="0"/>
    <cacheHierarchy uniqueName="[HR_Data].[MonthlyRate]" caption="MonthlyRate" attribute="1" defaultMemberUniqueName="[HR_Data].[MonthlyRate].[All]" allUniqueName="[HR_Data].[MonthlyRate].[All]" dimensionUniqueName="[HR_Data]" displayFolder="" count="0" memberValueDatatype="20" unbalanced="0"/>
    <cacheHierarchy uniqueName="[HR_Data].[NumCompaniesWorked]" caption="NumCompaniesWorked" attribute="1" defaultMemberUniqueName="[HR_Data].[NumCompaniesWorked].[All]" allUniqueName="[HR_Data].[NumCompaniesWorked].[All]" dimensionUniqueName="[HR_Data]" displayFolder="" count="0" memberValueDatatype="20" unbalanced="0"/>
    <cacheHierarchy uniqueName="[HR_Data].[Over18]" caption="Over18" attribute="1" defaultMemberUniqueName="[HR_Data].[Over18].[All]" allUniqueName="[HR_Data].[Over18].[All]" dimensionUniqueName="[HR_Data]" displayFolder="" count="0" memberValueDatatype="130" unbalanced="0"/>
    <cacheHierarchy uniqueName="[HR_Data].[OverTime]" caption="OverTime" attribute="1" defaultMemberUniqueName="[HR_Data].[OverTime].[All]" allUniqueName="[HR_Data].[OverTime].[All]" dimensionUniqueName="[HR_Data]" displayFolder="" count="2" memberValueDatatype="130" unbalanced="0">
      <fieldsUsage count="2">
        <fieldUsage x="-1"/>
        <fieldUsage x="1"/>
      </fieldsUsage>
    </cacheHierarchy>
    <cacheHierarchy uniqueName="[HR_Data].[PercentSalaryHike]" caption="PercentSalaryHike" attribute="1" defaultMemberUniqueName="[HR_Data].[PercentSalaryHike].[All]" allUniqueName="[HR_Data].[PercentSalaryHike].[All]" dimensionUniqueName="[HR_Data]" displayFolder="" count="0" memberValueDatatype="20" unbalanced="0"/>
    <cacheHierarchy uniqueName="[HR_Data].[PerformanceRating]" caption="PerformanceRating" attribute="1" defaultMemberUniqueName="[HR_Data].[PerformanceRating].[All]" allUniqueName="[HR_Data].[PerformanceRating].[All]" dimensionUniqueName="[HR_Data]" displayFolder="" count="0" memberValueDatatype="20" unbalanced="0"/>
    <cacheHierarchy uniqueName="[HR_Data].[RelationshipSatisfaction]" caption="RelationshipSatisfaction" attribute="1" defaultMemberUniqueName="[HR_Data].[RelationshipSatisfaction].[All]" allUniqueName="[HR_Data].[RelationshipSatisfaction].[All]" dimensionUniqueName="[HR_Data]" displayFolder="" count="0" memberValueDatatype="20" unbalanced="0"/>
    <cacheHierarchy uniqueName="[HR_Data].[StandardHours]" caption="StandardHours" attribute="1" defaultMemberUniqueName="[HR_Data].[StandardHours].[All]" allUniqueName="[HR_Data].[StandardHours].[All]" dimensionUniqueName="[HR_Data]" displayFolder="" count="0" memberValueDatatype="20" unbalanced="0"/>
    <cacheHierarchy uniqueName="[HR_Data].[StockOptionLevel]" caption="StockOptionLevel" attribute="1" defaultMemberUniqueName="[HR_Data].[StockOptionLevel].[All]" allUniqueName="[HR_Data].[StockOptionLevel].[All]" dimensionUniqueName="[HR_Data]" displayFolder="" count="0" memberValueDatatype="20" unbalanced="0"/>
    <cacheHierarchy uniqueName="[HR_Data].[TotalWorkingYears]" caption="TotalWorkingYears" attribute="1" defaultMemberUniqueName="[HR_Data].[TotalWorkingYears].[All]" allUniqueName="[HR_Data].[TotalWorkingYears].[All]" dimensionUniqueName="[HR_Data]" displayFolder="" count="0" memberValueDatatype="20" unbalanced="0"/>
    <cacheHierarchy uniqueName="[HR_Data].[TrainingTimesLastYear]" caption="TrainingTimesLastYear" attribute="1" defaultMemberUniqueName="[HR_Data].[TrainingTimesLastYear].[All]" allUniqueName="[HR_Data].[TrainingTimesLastYear].[All]" dimensionUniqueName="[HR_Data]" displayFolder="" count="0" memberValueDatatype="20" unbalanced="0"/>
    <cacheHierarchy uniqueName="[HR_Data].[WorkLifeBalance]" caption="WorkLifeBalance" attribute="1" defaultMemberUniqueName="[HR_Data].[WorkLifeBalance].[All]" allUniqueName="[HR_Data].[WorkLifeBalance].[All]" dimensionUniqueName="[HR_Data]" displayFolder="" count="0" memberValueDatatype="20" unbalanced="0"/>
    <cacheHierarchy uniqueName="[HR_Data].[YearsAtCompany]" caption="YearsAtCompany" attribute="1" defaultMemberUniqueName="[HR_Data].[YearsAtCompany].[All]" allUniqueName="[HR_Data].[YearsAtCompany].[All]" dimensionUniqueName="[HR_Data]" displayFolder="" count="0" memberValueDatatype="20" unbalanced="0"/>
    <cacheHierarchy uniqueName="[HR_Data].[YearsInCurrentRole]" caption="YearsInCurrentRole" attribute="1" defaultMemberUniqueName="[HR_Data].[YearsInCurrentRole].[All]" allUniqueName="[HR_Data].[YearsInCurrentRole].[All]" dimensionUniqueName="[HR_Data]" displayFolder="" count="0" memberValueDatatype="20" unbalanced="0"/>
    <cacheHierarchy uniqueName="[HR_Data].[YearsSinceLastPromotion]" caption="YearsSinceLastPromotion" attribute="1" defaultMemberUniqueName="[HR_Data].[YearsSinceLastPromotion].[All]" allUniqueName="[HR_Data].[YearsSinceLastPromotion].[All]" dimensionUniqueName="[HR_Data]" displayFolder="" count="0" memberValueDatatype="20" unbalanced="0"/>
    <cacheHierarchy uniqueName="[HR_Data].[YearsWithCurrManager]" caption="YearsWithCurrManager" attribute="1" defaultMemberUniqueName="[HR_Data].[YearsWithCurrManager].[All]" allUniqueName="[HR_Data].[YearsWithCurrManager].[All]" dimensionUniqueName="[HR_Data]" displayFolder="" count="0" memberValueDatatype="20" unbalanced="0"/>
    <cacheHierarchy uniqueName="[HR_Data].[Age_Group]" caption="Age_Group" attribute="1" defaultMemberUniqueName="[HR_Data].[Age_Group].[All]" allUniqueName="[HR_Data].[Age_Group].[All]" dimensionUniqueName="[HR_Data]" displayFolder="" count="0" memberValueDatatype="130" unbalanced="0"/>
    <cacheHierarchy uniqueName="[HR_Data].[Income_Group]" caption="Income_Group" attribute="1" defaultMemberUniqueName="[HR_Data].[Income_Group].[All]" allUniqueName="[HR_Data].[Income_Group].[All]" dimensionUniqueName="[HR_Data]" displayFolder="" count="2" memberValueDatatype="130" unbalanced="0">
      <fieldsUsage count="2">
        <fieldUsage x="-1"/>
        <fieldUsage x="0"/>
      </fieldsUsage>
    </cacheHierarchy>
    <cacheHierarchy uniqueName="[HR_Data].[Tenure_Group]" caption="Tenure_Group" attribute="1" defaultMemberUniqueName="[HR_Data].[Tenure_Group].[All]" allUniqueName="[HR_Data].[Tenure_Group].[All]" dimensionUniqueName="[HR_Data]" displayFolder="" count="0" memberValueDatatype="130" unbalanced="0"/>
    <cacheHierarchy uniqueName="[Measures].[__XL_Count HR_Data]" caption="__XL_Count HR_Data" measure="1" displayFolder="" measureGroup="HR_Data" count="0" hidden="1"/>
    <cacheHierarchy uniqueName="[Measures].[__No measures defined]" caption="__No measures defined" measure="1" displayFolder="" count="0" hidden="1"/>
    <cacheHierarchy uniqueName="[Measures].[Sum of EmployeeNumber]" caption="Sum of EmployeeNumber" measure="1" displayFolder="" measureGroup="HR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EmployeeNumber]" caption="Count of EmployeeNumber" measure="1" displayFolder="" measureGroup="HR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HR_Data" uniqueName="[HR_Data]" caption="HR_Data"/>
    <dimension measure="1" name="Measures" uniqueName="[Measures]" caption="Measures"/>
  </dimensions>
  <measureGroups count="1">
    <measureGroup name="HR_Data" caption="HR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x v="0"/>
    <n v="2"/>
    <s v="Female"/>
    <n v="94"/>
    <n v="3"/>
    <n v="2"/>
    <x v="0"/>
    <x v="0"/>
    <s v="Single"/>
    <n v="5993"/>
    <n v="19479"/>
    <n v="8"/>
    <s v="Y"/>
    <x v="0"/>
    <n v="11"/>
    <n v="3"/>
    <n v="1"/>
    <n v="80"/>
    <n v="0"/>
    <n v="8"/>
    <n v="0"/>
    <x v="0"/>
    <n v="6"/>
    <n v="4"/>
    <n v="0"/>
    <n v="5"/>
    <x v="0"/>
    <x v="0"/>
  </r>
  <r>
    <n v="49"/>
    <x v="1"/>
    <s v="Travel_Frequently"/>
    <n v="279"/>
    <x v="1"/>
    <n v="8"/>
    <n v="1"/>
    <s v="Life Sciences"/>
    <n v="1"/>
    <x v="1"/>
    <n v="3"/>
    <s v="Male"/>
    <n v="61"/>
    <n v="2"/>
    <n v="2"/>
    <x v="1"/>
    <x v="1"/>
    <s v="Married"/>
    <n v="5130"/>
    <n v="24907"/>
    <n v="1"/>
    <s v="Y"/>
    <x v="1"/>
    <n v="23"/>
    <n v="4"/>
    <n v="4"/>
    <n v="80"/>
    <n v="1"/>
    <n v="10"/>
    <n v="3"/>
    <x v="1"/>
    <n v="10"/>
    <n v="7"/>
    <n v="1"/>
    <n v="7"/>
    <x v="0"/>
    <x v="0"/>
  </r>
  <r>
    <n v="37"/>
    <x v="0"/>
    <s v="Travel_Rarely"/>
    <n v="1373"/>
    <x v="1"/>
    <n v="2"/>
    <n v="2"/>
    <s v="Other"/>
    <n v="1"/>
    <x v="2"/>
    <n v="4"/>
    <s v="Male"/>
    <n v="92"/>
    <n v="2"/>
    <n v="1"/>
    <x v="2"/>
    <x v="2"/>
    <s v="Single"/>
    <n v="2090"/>
    <n v="2396"/>
    <n v="6"/>
    <s v="Y"/>
    <x v="0"/>
    <n v="15"/>
    <n v="3"/>
    <n v="2"/>
    <n v="80"/>
    <n v="0"/>
    <n v="7"/>
    <n v="3"/>
    <x v="1"/>
    <n v="0"/>
    <n v="0"/>
    <n v="0"/>
    <n v="0"/>
    <x v="1"/>
    <x v="1"/>
  </r>
  <r>
    <n v="33"/>
    <x v="1"/>
    <s v="Travel_Frequently"/>
    <n v="1392"/>
    <x v="1"/>
    <n v="3"/>
    <n v="4"/>
    <s v="Life Sciences"/>
    <n v="1"/>
    <x v="3"/>
    <n v="4"/>
    <s v="Female"/>
    <n v="56"/>
    <n v="3"/>
    <n v="1"/>
    <x v="1"/>
    <x v="2"/>
    <s v="Married"/>
    <n v="2909"/>
    <n v="23159"/>
    <n v="1"/>
    <s v="Y"/>
    <x v="0"/>
    <n v="11"/>
    <n v="3"/>
    <n v="3"/>
    <n v="80"/>
    <n v="0"/>
    <n v="8"/>
    <n v="3"/>
    <x v="1"/>
    <n v="8"/>
    <n v="7"/>
    <n v="3"/>
    <n v="0"/>
    <x v="1"/>
    <x v="1"/>
  </r>
  <r>
    <n v="27"/>
    <x v="1"/>
    <s v="Travel_Rarely"/>
    <n v="591"/>
    <x v="1"/>
    <n v="2"/>
    <n v="1"/>
    <s v="Medical"/>
    <n v="1"/>
    <x v="4"/>
    <n v="1"/>
    <s v="Male"/>
    <n v="40"/>
    <n v="3"/>
    <n v="1"/>
    <x v="2"/>
    <x v="1"/>
    <s v="Married"/>
    <n v="3468"/>
    <n v="16632"/>
    <n v="9"/>
    <s v="Y"/>
    <x v="1"/>
    <n v="12"/>
    <n v="3"/>
    <n v="4"/>
    <n v="80"/>
    <n v="1"/>
    <n v="6"/>
    <n v="3"/>
    <x v="1"/>
    <n v="2"/>
    <n v="2"/>
    <n v="2"/>
    <n v="2"/>
    <x v="2"/>
    <x v="1"/>
  </r>
  <r>
    <n v="32"/>
    <x v="1"/>
    <s v="Travel_Frequently"/>
    <n v="1005"/>
    <x v="1"/>
    <n v="2"/>
    <n v="2"/>
    <s v="Life Sciences"/>
    <n v="1"/>
    <x v="5"/>
    <n v="4"/>
    <s v="Male"/>
    <n v="79"/>
    <n v="3"/>
    <n v="1"/>
    <x v="2"/>
    <x v="0"/>
    <s v="Single"/>
    <n v="3068"/>
    <n v="11864"/>
    <n v="0"/>
    <s v="Y"/>
    <x v="1"/>
    <n v="13"/>
    <n v="3"/>
    <n v="3"/>
    <n v="80"/>
    <n v="0"/>
    <n v="8"/>
    <n v="2"/>
    <x v="2"/>
    <n v="7"/>
    <n v="7"/>
    <n v="3"/>
    <n v="6"/>
    <x v="1"/>
    <x v="1"/>
  </r>
  <r>
    <n v="59"/>
    <x v="1"/>
    <s v="Travel_Rarely"/>
    <n v="1324"/>
    <x v="1"/>
    <n v="3"/>
    <n v="3"/>
    <s v="Medical"/>
    <n v="1"/>
    <x v="6"/>
    <n v="3"/>
    <s v="Female"/>
    <n v="81"/>
    <n v="4"/>
    <n v="1"/>
    <x v="2"/>
    <x v="3"/>
    <s v="Married"/>
    <n v="2670"/>
    <n v="9964"/>
    <n v="4"/>
    <s v="Y"/>
    <x v="0"/>
    <n v="20"/>
    <n v="4"/>
    <n v="1"/>
    <n v="80"/>
    <n v="3"/>
    <n v="12"/>
    <n v="3"/>
    <x v="2"/>
    <n v="1"/>
    <n v="0"/>
    <n v="0"/>
    <n v="0"/>
    <x v="3"/>
    <x v="1"/>
  </r>
  <r>
    <n v="30"/>
    <x v="1"/>
    <s v="Travel_Rarely"/>
    <n v="1358"/>
    <x v="1"/>
    <n v="24"/>
    <n v="1"/>
    <s v="Life Sciences"/>
    <n v="1"/>
    <x v="7"/>
    <n v="4"/>
    <s v="Male"/>
    <n v="67"/>
    <n v="3"/>
    <n v="1"/>
    <x v="2"/>
    <x v="2"/>
    <s v="Divorced"/>
    <n v="2693"/>
    <n v="13335"/>
    <n v="1"/>
    <s v="Y"/>
    <x v="1"/>
    <n v="22"/>
    <n v="4"/>
    <n v="2"/>
    <n v="80"/>
    <n v="1"/>
    <n v="1"/>
    <n v="2"/>
    <x v="1"/>
    <n v="1"/>
    <n v="0"/>
    <n v="0"/>
    <n v="0"/>
    <x v="1"/>
    <x v="1"/>
  </r>
  <r>
    <n v="38"/>
    <x v="1"/>
    <s v="Travel_Frequently"/>
    <n v="216"/>
    <x v="1"/>
    <n v="23"/>
    <n v="3"/>
    <s v="Life Sciences"/>
    <n v="1"/>
    <x v="8"/>
    <n v="4"/>
    <s v="Male"/>
    <n v="44"/>
    <n v="2"/>
    <n v="3"/>
    <x v="3"/>
    <x v="2"/>
    <s v="Single"/>
    <n v="9526"/>
    <n v="8787"/>
    <n v="0"/>
    <s v="Y"/>
    <x v="1"/>
    <n v="21"/>
    <n v="4"/>
    <n v="2"/>
    <n v="80"/>
    <n v="0"/>
    <n v="10"/>
    <n v="2"/>
    <x v="1"/>
    <n v="9"/>
    <n v="7"/>
    <n v="1"/>
    <n v="8"/>
    <x v="1"/>
    <x v="2"/>
  </r>
  <r>
    <n v="36"/>
    <x v="1"/>
    <s v="Travel_Rarely"/>
    <n v="1299"/>
    <x v="1"/>
    <n v="27"/>
    <n v="3"/>
    <s v="Medical"/>
    <n v="1"/>
    <x v="9"/>
    <n v="3"/>
    <s v="Male"/>
    <n v="94"/>
    <n v="3"/>
    <n v="2"/>
    <x v="4"/>
    <x v="2"/>
    <s v="Married"/>
    <n v="5237"/>
    <n v="16577"/>
    <n v="6"/>
    <s v="Y"/>
    <x v="1"/>
    <n v="13"/>
    <n v="3"/>
    <n v="2"/>
    <n v="80"/>
    <n v="2"/>
    <n v="17"/>
    <n v="3"/>
    <x v="2"/>
    <n v="7"/>
    <n v="7"/>
    <n v="7"/>
    <n v="7"/>
    <x v="1"/>
    <x v="0"/>
  </r>
  <r>
    <n v="35"/>
    <x v="1"/>
    <s v="Travel_Rarely"/>
    <n v="809"/>
    <x v="1"/>
    <n v="16"/>
    <n v="3"/>
    <s v="Medical"/>
    <n v="1"/>
    <x v="10"/>
    <n v="1"/>
    <s v="Male"/>
    <n v="84"/>
    <n v="4"/>
    <n v="1"/>
    <x v="2"/>
    <x v="1"/>
    <s v="Married"/>
    <n v="2426"/>
    <n v="16479"/>
    <n v="0"/>
    <s v="Y"/>
    <x v="1"/>
    <n v="13"/>
    <n v="3"/>
    <n v="3"/>
    <n v="80"/>
    <n v="1"/>
    <n v="6"/>
    <n v="5"/>
    <x v="1"/>
    <n v="5"/>
    <n v="4"/>
    <n v="0"/>
    <n v="3"/>
    <x v="1"/>
    <x v="1"/>
  </r>
  <r>
    <n v="29"/>
    <x v="1"/>
    <s v="Travel_Rarely"/>
    <n v="153"/>
    <x v="1"/>
    <n v="15"/>
    <n v="2"/>
    <s v="Life Sciences"/>
    <n v="1"/>
    <x v="11"/>
    <n v="4"/>
    <s v="Female"/>
    <n v="49"/>
    <n v="2"/>
    <n v="2"/>
    <x v="2"/>
    <x v="2"/>
    <s v="Single"/>
    <n v="4193"/>
    <n v="12682"/>
    <n v="0"/>
    <s v="Y"/>
    <x v="0"/>
    <n v="12"/>
    <n v="3"/>
    <n v="4"/>
    <n v="80"/>
    <n v="0"/>
    <n v="10"/>
    <n v="3"/>
    <x v="1"/>
    <n v="9"/>
    <n v="5"/>
    <n v="0"/>
    <n v="8"/>
    <x v="2"/>
    <x v="0"/>
  </r>
  <r>
    <n v="31"/>
    <x v="1"/>
    <s v="Travel_Rarely"/>
    <n v="670"/>
    <x v="1"/>
    <n v="26"/>
    <n v="1"/>
    <s v="Life Sciences"/>
    <n v="1"/>
    <x v="12"/>
    <n v="1"/>
    <s v="Male"/>
    <n v="31"/>
    <n v="3"/>
    <n v="1"/>
    <x v="1"/>
    <x v="2"/>
    <s v="Divorced"/>
    <n v="2911"/>
    <n v="15170"/>
    <n v="1"/>
    <s v="Y"/>
    <x v="1"/>
    <n v="17"/>
    <n v="3"/>
    <n v="4"/>
    <n v="80"/>
    <n v="1"/>
    <n v="5"/>
    <n v="1"/>
    <x v="2"/>
    <n v="5"/>
    <n v="2"/>
    <n v="4"/>
    <n v="3"/>
    <x v="1"/>
    <x v="1"/>
  </r>
  <r>
    <n v="34"/>
    <x v="1"/>
    <s v="Travel_Rarely"/>
    <n v="1346"/>
    <x v="1"/>
    <n v="19"/>
    <n v="2"/>
    <s v="Medical"/>
    <n v="1"/>
    <x v="13"/>
    <n v="2"/>
    <s v="Male"/>
    <n v="93"/>
    <n v="3"/>
    <n v="1"/>
    <x v="2"/>
    <x v="0"/>
    <s v="Divorced"/>
    <n v="2661"/>
    <n v="8758"/>
    <n v="0"/>
    <s v="Y"/>
    <x v="1"/>
    <n v="11"/>
    <n v="3"/>
    <n v="3"/>
    <n v="80"/>
    <n v="1"/>
    <n v="3"/>
    <n v="2"/>
    <x v="1"/>
    <n v="2"/>
    <n v="2"/>
    <n v="1"/>
    <n v="2"/>
    <x v="1"/>
    <x v="1"/>
  </r>
  <r>
    <n v="28"/>
    <x v="0"/>
    <s v="Travel_Rarely"/>
    <n v="103"/>
    <x v="1"/>
    <n v="24"/>
    <n v="3"/>
    <s v="Life Sciences"/>
    <n v="1"/>
    <x v="14"/>
    <n v="3"/>
    <s v="Male"/>
    <n v="50"/>
    <n v="2"/>
    <n v="1"/>
    <x v="2"/>
    <x v="2"/>
    <s v="Single"/>
    <n v="2028"/>
    <n v="12947"/>
    <n v="5"/>
    <s v="Y"/>
    <x v="0"/>
    <n v="14"/>
    <n v="3"/>
    <n v="2"/>
    <n v="80"/>
    <n v="0"/>
    <n v="6"/>
    <n v="4"/>
    <x v="1"/>
    <n v="4"/>
    <n v="2"/>
    <n v="0"/>
    <n v="3"/>
    <x v="2"/>
    <x v="1"/>
  </r>
  <r>
    <n v="29"/>
    <x v="1"/>
    <s v="Travel_Rarely"/>
    <n v="1389"/>
    <x v="1"/>
    <n v="21"/>
    <n v="4"/>
    <s v="Life Sciences"/>
    <n v="1"/>
    <x v="15"/>
    <n v="2"/>
    <s v="Female"/>
    <n v="51"/>
    <n v="4"/>
    <n v="3"/>
    <x v="3"/>
    <x v="3"/>
    <s v="Divorced"/>
    <n v="9980"/>
    <n v="10195"/>
    <n v="1"/>
    <s v="Y"/>
    <x v="1"/>
    <n v="11"/>
    <n v="3"/>
    <n v="3"/>
    <n v="80"/>
    <n v="1"/>
    <n v="10"/>
    <n v="1"/>
    <x v="1"/>
    <n v="10"/>
    <n v="9"/>
    <n v="8"/>
    <n v="8"/>
    <x v="2"/>
    <x v="2"/>
  </r>
  <r>
    <n v="32"/>
    <x v="1"/>
    <s v="Travel_Rarely"/>
    <n v="334"/>
    <x v="1"/>
    <n v="5"/>
    <n v="2"/>
    <s v="Life Sciences"/>
    <n v="1"/>
    <x v="16"/>
    <n v="1"/>
    <s v="Male"/>
    <n v="80"/>
    <n v="4"/>
    <n v="1"/>
    <x v="1"/>
    <x v="1"/>
    <s v="Divorced"/>
    <n v="3298"/>
    <n v="15053"/>
    <n v="0"/>
    <s v="Y"/>
    <x v="0"/>
    <n v="12"/>
    <n v="3"/>
    <n v="4"/>
    <n v="80"/>
    <n v="2"/>
    <n v="7"/>
    <n v="5"/>
    <x v="2"/>
    <n v="6"/>
    <n v="2"/>
    <n v="0"/>
    <n v="5"/>
    <x v="1"/>
    <x v="1"/>
  </r>
  <r>
    <n v="22"/>
    <x v="1"/>
    <s v="Non-Travel"/>
    <n v="1123"/>
    <x v="1"/>
    <n v="16"/>
    <n v="2"/>
    <s v="Medical"/>
    <n v="1"/>
    <x v="17"/>
    <n v="4"/>
    <s v="Male"/>
    <n v="96"/>
    <n v="4"/>
    <n v="1"/>
    <x v="2"/>
    <x v="0"/>
    <s v="Divorced"/>
    <n v="2935"/>
    <n v="7324"/>
    <n v="1"/>
    <s v="Y"/>
    <x v="0"/>
    <n v="13"/>
    <n v="3"/>
    <n v="2"/>
    <n v="80"/>
    <n v="2"/>
    <n v="1"/>
    <n v="2"/>
    <x v="2"/>
    <n v="1"/>
    <n v="0"/>
    <n v="0"/>
    <n v="0"/>
    <x v="2"/>
    <x v="1"/>
  </r>
  <r>
    <n v="53"/>
    <x v="1"/>
    <s v="Travel_Rarely"/>
    <n v="1219"/>
    <x v="0"/>
    <n v="2"/>
    <n v="4"/>
    <s v="Life Sciences"/>
    <n v="1"/>
    <x v="18"/>
    <n v="1"/>
    <s v="Female"/>
    <n v="78"/>
    <n v="2"/>
    <n v="4"/>
    <x v="5"/>
    <x v="0"/>
    <s v="Married"/>
    <n v="15427"/>
    <n v="22021"/>
    <n v="2"/>
    <s v="Y"/>
    <x v="1"/>
    <n v="16"/>
    <n v="3"/>
    <n v="3"/>
    <n v="80"/>
    <n v="0"/>
    <n v="31"/>
    <n v="3"/>
    <x v="1"/>
    <n v="25"/>
    <n v="8"/>
    <n v="3"/>
    <n v="7"/>
    <x v="3"/>
    <x v="2"/>
  </r>
  <r>
    <n v="38"/>
    <x v="1"/>
    <s v="Travel_Rarely"/>
    <n v="371"/>
    <x v="1"/>
    <n v="2"/>
    <n v="3"/>
    <s v="Life Sciences"/>
    <n v="1"/>
    <x v="19"/>
    <n v="4"/>
    <s v="Male"/>
    <n v="45"/>
    <n v="3"/>
    <n v="1"/>
    <x v="1"/>
    <x v="0"/>
    <s v="Single"/>
    <n v="3944"/>
    <n v="4306"/>
    <n v="5"/>
    <s v="Y"/>
    <x v="0"/>
    <n v="11"/>
    <n v="3"/>
    <n v="3"/>
    <n v="80"/>
    <n v="0"/>
    <n v="6"/>
    <n v="3"/>
    <x v="1"/>
    <n v="3"/>
    <n v="2"/>
    <n v="1"/>
    <n v="2"/>
    <x v="1"/>
    <x v="1"/>
  </r>
  <r>
    <n v="24"/>
    <x v="1"/>
    <s v="Non-Travel"/>
    <n v="673"/>
    <x v="1"/>
    <n v="11"/>
    <n v="2"/>
    <s v="Other"/>
    <n v="1"/>
    <x v="20"/>
    <n v="1"/>
    <s v="Female"/>
    <n v="96"/>
    <n v="4"/>
    <n v="2"/>
    <x v="3"/>
    <x v="2"/>
    <s v="Divorced"/>
    <n v="4011"/>
    <n v="8232"/>
    <n v="0"/>
    <s v="Y"/>
    <x v="1"/>
    <n v="18"/>
    <n v="3"/>
    <n v="4"/>
    <n v="80"/>
    <n v="1"/>
    <n v="5"/>
    <n v="5"/>
    <x v="2"/>
    <n v="4"/>
    <n v="2"/>
    <n v="1"/>
    <n v="3"/>
    <x v="2"/>
    <x v="0"/>
  </r>
  <r>
    <n v="36"/>
    <x v="0"/>
    <s v="Travel_Rarely"/>
    <n v="1218"/>
    <x v="0"/>
    <n v="9"/>
    <n v="4"/>
    <s v="Life Sciences"/>
    <n v="1"/>
    <x v="21"/>
    <n v="3"/>
    <s v="Male"/>
    <n v="82"/>
    <n v="2"/>
    <n v="1"/>
    <x v="6"/>
    <x v="3"/>
    <s v="Single"/>
    <n v="3407"/>
    <n v="6986"/>
    <n v="7"/>
    <s v="Y"/>
    <x v="1"/>
    <n v="23"/>
    <n v="4"/>
    <n v="2"/>
    <n v="80"/>
    <n v="0"/>
    <n v="10"/>
    <n v="4"/>
    <x v="1"/>
    <n v="5"/>
    <n v="3"/>
    <n v="0"/>
    <n v="3"/>
    <x v="1"/>
    <x v="1"/>
  </r>
  <r>
    <n v="34"/>
    <x v="1"/>
    <s v="Travel_Rarely"/>
    <n v="419"/>
    <x v="1"/>
    <n v="7"/>
    <n v="4"/>
    <s v="Life Sciences"/>
    <n v="1"/>
    <x v="22"/>
    <n v="1"/>
    <s v="Female"/>
    <n v="53"/>
    <n v="3"/>
    <n v="3"/>
    <x v="7"/>
    <x v="1"/>
    <s v="Single"/>
    <n v="11994"/>
    <n v="21293"/>
    <n v="0"/>
    <s v="Y"/>
    <x v="1"/>
    <n v="11"/>
    <n v="3"/>
    <n v="3"/>
    <n v="80"/>
    <n v="0"/>
    <n v="13"/>
    <n v="4"/>
    <x v="1"/>
    <n v="12"/>
    <n v="6"/>
    <n v="2"/>
    <n v="11"/>
    <x v="1"/>
    <x v="2"/>
  </r>
  <r>
    <n v="21"/>
    <x v="1"/>
    <s v="Travel_Rarely"/>
    <n v="391"/>
    <x v="1"/>
    <n v="15"/>
    <n v="2"/>
    <s v="Life Sciences"/>
    <n v="1"/>
    <x v="23"/>
    <n v="3"/>
    <s v="Male"/>
    <n v="96"/>
    <n v="3"/>
    <n v="1"/>
    <x v="1"/>
    <x v="0"/>
    <s v="Single"/>
    <n v="1232"/>
    <n v="19281"/>
    <n v="1"/>
    <s v="Y"/>
    <x v="1"/>
    <n v="14"/>
    <n v="3"/>
    <n v="4"/>
    <n v="80"/>
    <n v="0"/>
    <n v="0"/>
    <n v="6"/>
    <x v="1"/>
    <n v="0"/>
    <n v="0"/>
    <n v="0"/>
    <n v="0"/>
    <x v="2"/>
    <x v="1"/>
  </r>
  <r>
    <n v="34"/>
    <x v="0"/>
    <s v="Travel_Rarely"/>
    <n v="699"/>
    <x v="1"/>
    <n v="6"/>
    <n v="1"/>
    <s v="Medical"/>
    <n v="1"/>
    <x v="24"/>
    <n v="2"/>
    <s v="Male"/>
    <n v="83"/>
    <n v="3"/>
    <n v="1"/>
    <x v="1"/>
    <x v="3"/>
    <s v="Single"/>
    <n v="2960"/>
    <n v="17102"/>
    <n v="2"/>
    <s v="Y"/>
    <x v="1"/>
    <n v="11"/>
    <n v="3"/>
    <n v="3"/>
    <n v="80"/>
    <n v="0"/>
    <n v="8"/>
    <n v="2"/>
    <x v="1"/>
    <n v="4"/>
    <n v="2"/>
    <n v="1"/>
    <n v="3"/>
    <x v="1"/>
    <x v="1"/>
  </r>
  <r>
    <n v="53"/>
    <x v="1"/>
    <s v="Travel_Rarely"/>
    <n v="1282"/>
    <x v="1"/>
    <n v="5"/>
    <n v="3"/>
    <s v="Other"/>
    <n v="1"/>
    <x v="25"/>
    <n v="3"/>
    <s v="Female"/>
    <n v="58"/>
    <n v="3"/>
    <n v="5"/>
    <x v="5"/>
    <x v="2"/>
    <s v="Divorced"/>
    <n v="19094"/>
    <n v="10735"/>
    <n v="4"/>
    <s v="Y"/>
    <x v="1"/>
    <n v="11"/>
    <n v="3"/>
    <n v="4"/>
    <n v="80"/>
    <n v="1"/>
    <n v="26"/>
    <n v="3"/>
    <x v="2"/>
    <n v="14"/>
    <n v="13"/>
    <n v="4"/>
    <n v="8"/>
    <x v="3"/>
    <x v="2"/>
  </r>
  <r>
    <n v="32"/>
    <x v="0"/>
    <s v="Travel_Frequently"/>
    <n v="1125"/>
    <x v="1"/>
    <n v="16"/>
    <n v="1"/>
    <s v="Life Sciences"/>
    <n v="1"/>
    <x v="26"/>
    <n v="2"/>
    <s v="Female"/>
    <n v="72"/>
    <n v="1"/>
    <n v="1"/>
    <x v="1"/>
    <x v="3"/>
    <s v="Single"/>
    <n v="3919"/>
    <n v="4681"/>
    <n v="1"/>
    <s v="Y"/>
    <x v="0"/>
    <n v="22"/>
    <n v="4"/>
    <n v="2"/>
    <n v="80"/>
    <n v="0"/>
    <n v="10"/>
    <n v="5"/>
    <x v="1"/>
    <n v="10"/>
    <n v="2"/>
    <n v="6"/>
    <n v="7"/>
    <x v="1"/>
    <x v="1"/>
  </r>
  <r>
    <n v="42"/>
    <x v="1"/>
    <s v="Travel_Rarely"/>
    <n v="691"/>
    <x v="0"/>
    <n v="8"/>
    <n v="4"/>
    <s v="Marketing"/>
    <n v="1"/>
    <x v="27"/>
    <n v="3"/>
    <s v="Male"/>
    <n v="48"/>
    <n v="3"/>
    <n v="2"/>
    <x v="0"/>
    <x v="1"/>
    <s v="Married"/>
    <n v="6825"/>
    <n v="21173"/>
    <n v="0"/>
    <s v="Y"/>
    <x v="1"/>
    <n v="11"/>
    <n v="3"/>
    <n v="4"/>
    <n v="80"/>
    <n v="1"/>
    <n v="10"/>
    <n v="2"/>
    <x v="1"/>
    <n v="9"/>
    <n v="7"/>
    <n v="4"/>
    <n v="2"/>
    <x v="0"/>
    <x v="0"/>
  </r>
  <r>
    <n v="44"/>
    <x v="1"/>
    <s v="Travel_Rarely"/>
    <n v="477"/>
    <x v="1"/>
    <n v="7"/>
    <n v="4"/>
    <s v="Medical"/>
    <n v="1"/>
    <x v="28"/>
    <n v="1"/>
    <s v="Female"/>
    <n v="42"/>
    <n v="2"/>
    <n v="3"/>
    <x v="4"/>
    <x v="0"/>
    <s v="Married"/>
    <n v="10248"/>
    <n v="2094"/>
    <n v="3"/>
    <s v="Y"/>
    <x v="1"/>
    <n v="14"/>
    <n v="3"/>
    <n v="4"/>
    <n v="80"/>
    <n v="1"/>
    <n v="24"/>
    <n v="4"/>
    <x v="1"/>
    <n v="22"/>
    <n v="6"/>
    <n v="5"/>
    <n v="17"/>
    <x v="0"/>
    <x v="2"/>
  </r>
  <r>
    <n v="46"/>
    <x v="1"/>
    <s v="Travel_Rarely"/>
    <n v="705"/>
    <x v="0"/>
    <n v="2"/>
    <n v="4"/>
    <s v="Marketing"/>
    <n v="1"/>
    <x v="29"/>
    <n v="2"/>
    <s v="Female"/>
    <n v="83"/>
    <n v="3"/>
    <n v="5"/>
    <x v="5"/>
    <x v="3"/>
    <s v="Single"/>
    <n v="18947"/>
    <n v="22822"/>
    <n v="3"/>
    <s v="Y"/>
    <x v="1"/>
    <n v="12"/>
    <n v="3"/>
    <n v="4"/>
    <n v="80"/>
    <n v="0"/>
    <n v="22"/>
    <n v="2"/>
    <x v="2"/>
    <n v="2"/>
    <n v="2"/>
    <n v="2"/>
    <n v="1"/>
    <x v="0"/>
    <x v="2"/>
  </r>
  <r>
    <n v="33"/>
    <x v="1"/>
    <s v="Travel_Rarely"/>
    <n v="924"/>
    <x v="1"/>
    <n v="2"/>
    <n v="3"/>
    <s v="Medical"/>
    <n v="1"/>
    <x v="30"/>
    <n v="3"/>
    <s v="Male"/>
    <n v="78"/>
    <n v="3"/>
    <n v="1"/>
    <x v="2"/>
    <x v="0"/>
    <s v="Single"/>
    <n v="2496"/>
    <n v="6670"/>
    <n v="4"/>
    <s v="Y"/>
    <x v="1"/>
    <n v="11"/>
    <n v="3"/>
    <n v="4"/>
    <n v="80"/>
    <n v="0"/>
    <n v="7"/>
    <n v="3"/>
    <x v="1"/>
    <n v="1"/>
    <n v="1"/>
    <n v="0"/>
    <n v="0"/>
    <x v="1"/>
    <x v="1"/>
  </r>
  <r>
    <n v="44"/>
    <x v="1"/>
    <s v="Travel_Rarely"/>
    <n v="1459"/>
    <x v="1"/>
    <n v="10"/>
    <n v="4"/>
    <s v="Other"/>
    <n v="1"/>
    <x v="31"/>
    <n v="4"/>
    <s v="Male"/>
    <n v="41"/>
    <n v="3"/>
    <n v="2"/>
    <x v="4"/>
    <x v="0"/>
    <s v="Married"/>
    <n v="6465"/>
    <n v="19121"/>
    <n v="2"/>
    <s v="Y"/>
    <x v="0"/>
    <n v="13"/>
    <n v="3"/>
    <n v="4"/>
    <n v="80"/>
    <n v="0"/>
    <n v="9"/>
    <n v="5"/>
    <x v="3"/>
    <n v="4"/>
    <n v="2"/>
    <n v="1"/>
    <n v="3"/>
    <x v="0"/>
    <x v="0"/>
  </r>
  <r>
    <n v="30"/>
    <x v="1"/>
    <s v="Travel_Rarely"/>
    <n v="125"/>
    <x v="1"/>
    <n v="9"/>
    <n v="2"/>
    <s v="Medical"/>
    <n v="1"/>
    <x v="32"/>
    <n v="4"/>
    <s v="Male"/>
    <n v="83"/>
    <n v="2"/>
    <n v="1"/>
    <x v="2"/>
    <x v="2"/>
    <s v="Single"/>
    <n v="2206"/>
    <n v="16117"/>
    <n v="1"/>
    <s v="Y"/>
    <x v="1"/>
    <n v="13"/>
    <n v="3"/>
    <n v="1"/>
    <n v="80"/>
    <n v="0"/>
    <n v="10"/>
    <n v="5"/>
    <x v="1"/>
    <n v="10"/>
    <n v="0"/>
    <n v="1"/>
    <n v="8"/>
    <x v="1"/>
    <x v="1"/>
  </r>
  <r>
    <n v="39"/>
    <x v="0"/>
    <s v="Travel_Rarely"/>
    <n v="895"/>
    <x v="0"/>
    <n v="5"/>
    <n v="3"/>
    <s v="Technical Degree"/>
    <n v="1"/>
    <x v="33"/>
    <n v="4"/>
    <s v="Male"/>
    <n v="56"/>
    <n v="3"/>
    <n v="2"/>
    <x v="6"/>
    <x v="0"/>
    <s v="Married"/>
    <n v="2086"/>
    <n v="3335"/>
    <n v="3"/>
    <s v="Y"/>
    <x v="1"/>
    <n v="14"/>
    <n v="3"/>
    <n v="3"/>
    <n v="80"/>
    <n v="1"/>
    <n v="19"/>
    <n v="6"/>
    <x v="3"/>
    <n v="1"/>
    <n v="0"/>
    <n v="0"/>
    <n v="0"/>
    <x v="1"/>
    <x v="1"/>
  </r>
  <r>
    <n v="24"/>
    <x v="0"/>
    <s v="Travel_Rarely"/>
    <n v="813"/>
    <x v="1"/>
    <n v="1"/>
    <n v="3"/>
    <s v="Medical"/>
    <n v="1"/>
    <x v="34"/>
    <n v="2"/>
    <s v="Male"/>
    <n v="61"/>
    <n v="3"/>
    <n v="1"/>
    <x v="1"/>
    <x v="0"/>
    <s v="Married"/>
    <n v="2293"/>
    <n v="3020"/>
    <n v="2"/>
    <s v="Y"/>
    <x v="0"/>
    <n v="16"/>
    <n v="3"/>
    <n v="1"/>
    <n v="80"/>
    <n v="1"/>
    <n v="6"/>
    <n v="2"/>
    <x v="2"/>
    <n v="2"/>
    <n v="0"/>
    <n v="2"/>
    <n v="0"/>
    <x v="2"/>
    <x v="1"/>
  </r>
  <r>
    <n v="43"/>
    <x v="1"/>
    <s v="Travel_Rarely"/>
    <n v="1273"/>
    <x v="1"/>
    <n v="2"/>
    <n v="2"/>
    <s v="Medical"/>
    <n v="1"/>
    <x v="35"/>
    <n v="4"/>
    <s v="Female"/>
    <n v="72"/>
    <n v="4"/>
    <n v="1"/>
    <x v="1"/>
    <x v="2"/>
    <s v="Divorced"/>
    <n v="2645"/>
    <n v="21923"/>
    <n v="1"/>
    <s v="Y"/>
    <x v="1"/>
    <n v="12"/>
    <n v="3"/>
    <n v="4"/>
    <n v="80"/>
    <n v="2"/>
    <n v="6"/>
    <n v="3"/>
    <x v="2"/>
    <n v="5"/>
    <n v="3"/>
    <n v="1"/>
    <n v="4"/>
    <x v="0"/>
    <x v="1"/>
  </r>
  <r>
    <n v="50"/>
    <x v="0"/>
    <s v="Travel_Rarely"/>
    <n v="869"/>
    <x v="0"/>
    <n v="3"/>
    <n v="2"/>
    <s v="Marketing"/>
    <n v="1"/>
    <x v="36"/>
    <n v="1"/>
    <s v="Male"/>
    <n v="86"/>
    <n v="2"/>
    <n v="1"/>
    <x v="6"/>
    <x v="2"/>
    <s v="Married"/>
    <n v="2683"/>
    <n v="3810"/>
    <n v="1"/>
    <s v="Y"/>
    <x v="0"/>
    <n v="14"/>
    <n v="3"/>
    <n v="3"/>
    <n v="80"/>
    <n v="0"/>
    <n v="3"/>
    <n v="2"/>
    <x v="1"/>
    <n v="3"/>
    <n v="2"/>
    <n v="0"/>
    <n v="2"/>
    <x v="0"/>
    <x v="1"/>
  </r>
  <r>
    <n v="35"/>
    <x v="1"/>
    <s v="Travel_Rarely"/>
    <n v="890"/>
    <x v="0"/>
    <n v="2"/>
    <n v="3"/>
    <s v="Marketing"/>
    <n v="1"/>
    <x v="37"/>
    <n v="4"/>
    <s v="Female"/>
    <n v="97"/>
    <n v="3"/>
    <n v="1"/>
    <x v="6"/>
    <x v="0"/>
    <s v="Married"/>
    <n v="2014"/>
    <n v="9687"/>
    <n v="1"/>
    <s v="Y"/>
    <x v="1"/>
    <n v="13"/>
    <n v="3"/>
    <n v="1"/>
    <n v="80"/>
    <n v="0"/>
    <n v="2"/>
    <n v="3"/>
    <x v="1"/>
    <n v="2"/>
    <n v="2"/>
    <n v="2"/>
    <n v="2"/>
    <x v="1"/>
    <x v="1"/>
  </r>
  <r>
    <n v="36"/>
    <x v="1"/>
    <s v="Travel_Rarely"/>
    <n v="852"/>
    <x v="1"/>
    <n v="5"/>
    <n v="4"/>
    <s v="Life Sciences"/>
    <n v="1"/>
    <x v="38"/>
    <n v="2"/>
    <s v="Female"/>
    <n v="82"/>
    <n v="2"/>
    <n v="1"/>
    <x v="1"/>
    <x v="3"/>
    <s v="Married"/>
    <n v="3419"/>
    <n v="13072"/>
    <n v="9"/>
    <s v="Y"/>
    <x v="0"/>
    <n v="14"/>
    <n v="3"/>
    <n v="4"/>
    <n v="80"/>
    <n v="1"/>
    <n v="6"/>
    <n v="3"/>
    <x v="3"/>
    <n v="1"/>
    <n v="1"/>
    <n v="0"/>
    <n v="0"/>
    <x v="1"/>
    <x v="1"/>
  </r>
  <r>
    <n v="33"/>
    <x v="1"/>
    <s v="Travel_Frequently"/>
    <n v="1141"/>
    <x v="0"/>
    <n v="1"/>
    <n v="3"/>
    <s v="Life Sciences"/>
    <n v="1"/>
    <x v="39"/>
    <n v="3"/>
    <s v="Female"/>
    <n v="42"/>
    <n v="4"/>
    <n v="2"/>
    <x v="0"/>
    <x v="3"/>
    <s v="Married"/>
    <n v="5376"/>
    <n v="3193"/>
    <n v="2"/>
    <s v="Y"/>
    <x v="1"/>
    <n v="19"/>
    <n v="3"/>
    <n v="1"/>
    <n v="80"/>
    <n v="2"/>
    <n v="10"/>
    <n v="3"/>
    <x v="1"/>
    <n v="5"/>
    <n v="3"/>
    <n v="1"/>
    <n v="3"/>
    <x v="1"/>
    <x v="0"/>
  </r>
  <r>
    <n v="35"/>
    <x v="1"/>
    <s v="Travel_Rarely"/>
    <n v="464"/>
    <x v="1"/>
    <n v="4"/>
    <n v="2"/>
    <s v="Other"/>
    <n v="1"/>
    <x v="40"/>
    <n v="3"/>
    <s v="Male"/>
    <n v="75"/>
    <n v="3"/>
    <n v="1"/>
    <x v="2"/>
    <x v="0"/>
    <s v="Divorced"/>
    <n v="1951"/>
    <n v="10910"/>
    <n v="1"/>
    <s v="Y"/>
    <x v="1"/>
    <n v="12"/>
    <n v="3"/>
    <n v="3"/>
    <n v="80"/>
    <n v="1"/>
    <n v="1"/>
    <n v="3"/>
    <x v="1"/>
    <n v="1"/>
    <n v="0"/>
    <n v="0"/>
    <n v="0"/>
    <x v="1"/>
    <x v="1"/>
  </r>
  <r>
    <n v="27"/>
    <x v="1"/>
    <s v="Travel_Rarely"/>
    <n v="1240"/>
    <x v="1"/>
    <n v="2"/>
    <n v="4"/>
    <s v="Life Sciences"/>
    <n v="1"/>
    <x v="41"/>
    <n v="4"/>
    <s v="Female"/>
    <n v="33"/>
    <n v="3"/>
    <n v="1"/>
    <x v="2"/>
    <x v="3"/>
    <s v="Divorced"/>
    <n v="2341"/>
    <n v="19715"/>
    <n v="1"/>
    <s v="Y"/>
    <x v="1"/>
    <n v="13"/>
    <n v="3"/>
    <n v="4"/>
    <n v="80"/>
    <n v="1"/>
    <n v="1"/>
    <n v="6"/>
    <x v="1"/>
    <n v="1"/>
    <n v="0"/>
    <n v="0"/>
    <n v="0"/>
    <x v="2"/>
    <x v="1"/>
  </r>
  <r>
    <n v="26"/>
    <x v="0"/>
    <s v="Travel_Rarely"/>
    <n v="1357"/>
    <x v="1"/>
    <n v="25"/>
    <n v="3"/>
    <s v="Life Sciences"/>
    <n v="1"/>
    <x v="42"/>
    <n v="1"/>
    <s v="Male"/>
    <n v="48"/>
    <n v="1"/>
    <n v="1"/>
    <x v="2"/>
    <x v="2"/>
    <s v="Single"/>
    <n v="2293"/>
    <n v="10558"/>
    <n v="1"/>
    <s v="Y"/>
    <x v="1"/>
    <n v="12"/>
    <n v="3"/>
    <n v="3"/>
    <n v="80"/>
    <n v="0"/>
    <n v="1"/>
    <n v="2"/>
    <x v="2"/>
    <n v="1"/>
    <n v="0"/>
    <n v="0"/>
    <n v="1"/>
    <x v="2"/>
    <x v="1"/>
  </r>
  <r>
    <n v="27"/>
    <x v="1"/>
    <s v="Travel_Frequently"/>
    <n v="994"/>
    <x v="0"/>
    <n v="8"/>
    <n v="3"/>
    <s v="Life Sciences"/>
    <n v="1"/>
    <x v="43"/>
    <n v="4"/>
    <s v="Male"/>
    <n v="37"/>
    <n v="3"/>
    <n v="3"/>
    <x v="0"/>
    <x v="2"/>
    <s v="Single"/>
    <n v="8726"/>
    <n v="2975"/>
    <n v="1"/>
    <s v="Y"/>
    <x v="1"/>
    <n v="15"/>
    <n v="3"/>
    <n v="4"/>
    <n v="80"/>
    <n v="0"/>
    <n v="9"/>
    <n v="0"/>
    <x v="1"/>
    <n v="9"/>
    <n v="8"/>
    <n v="1"/>
    <n v="7"/>
    <x v="2"/>
    <x v="2"/>
  </r>
  <r>
    <n v="30"/>
    <x v="1"/>
    <s v="Travel_Frequently"/>
    <n v="721"/>
    <x v="1"/>
    <n v="1"/>
    <n v="2"/>
    <s v="Medical"/>
    <n v="1"/>
    <x v="44"/>
    <n v="3"/>
    <s v="Female"/>
    <n v="58"/>
    <n v="3"/>
    <n v="2"/>
    <x v="2"/>
    <x v="0"/>
    <s v="Single"/>
    <n v="4011"/>
    <n v="10781"/>
    <n v="1"/>
    <s v="Y"/>
    <x v="1"/>
    <n v="23"/>
    <n v="4"/>
    <n v="4"/>
    <n v="80"/>
    <n v="0"/>
    <n v="12"/>
    <n v="2"/>
    <x v="1"/>
    <n v="12"/>
    <n v="8"/>
    <n v="3"/>
    <n v="7"/>
    <x v="1"/>
    <x v="0"/>
  </r>
  <r>
    <n v="41"/>
    <x v="0"/>
    <s v="Travel_Rarely"/>
    <n v="1360"/>
    <x v="1"/>
    <n v="12"/>
    <n v="3"/>
    <s v="Technical Degree"/>
    <n v="1"/>
    <x v="45"/>
    <n v="2"/>
    <s v="Female"/>
    <n v="49"/>
    <n v="3"/>
    <n v="5"/>
    <x v="7"/>
    <x v="2"/>
    <s v="Married"/>
    <n v="19545"/>
    <n v="16280"/>
    <n v="1"/>
    <s v="Y"/>
    <x v="1"/>
    <n v="12"/>
    <n v="3"/>
    <n v="4"/>
    <n v="80"/>
    <n v="0"/>
    <n v="23"/>
    <n v="0"/>
    <x v="1"/>
    <n v="22"/>
    <n v="15"/>
    <n v="15"/>
    <n v="8"/>
    <x v="0"/>
    <x v="2"/>
  </r>
  <r>
    <n v="34"/>
    <x v="1"/>
    <s v="Non-Travel"/>
    <n v="1065"/>
    <x v="0"/>
    <n v="23"/>
    <n v="4"/>
    <s v="Marketing"/>
    <n v="1"/>
    <x v="46"/>
    <n v="2"/>
    <s v="Male"/>
    <n v="72"/>
    <n v="3"/>
    <n v="2"/>
    <x v="0"/>
    <x v="2"/>
    <s v="Single"/>
    <n v="4568"/>
    <n v="10034"/>
    <n v="0"/>
    <s v="Y"/>
    <x v="1"/>
    <n v="20"/>
    <n v="4"/>
    <n v="3"/>
    <n v="80"/>
    <n v="0"/>
    <n v="10"/>
    <n v="2"/>
    <x v="1"/>
    <n v="9"/>
    <n v="5"/>
    <n v="8"/>
    <n v="7"/>
    <x v="1"/>
    <x v="0"/>
  </r>
  <r>
    <n v="37"/>
    <x v="1"/>
    <s v="Travel_Rarely"/>
    <n v="408"/>
    <x v="1"/>
    <n v="19"/>
    <n v="2"/>
    <s v="Life Sciences"/>
    <n v="1"/>
    <x v="47"/>
    <n v="2"/>
    <s v="Male"/>
    <n v="73"/>
    <n v="3"/>
    <n v="1"/>
    <x v="1"/>
    <x v="1"/>
    <s v="Married"/>
    <n v="3022"/>
    <n v="10227"/>
    <n v="4"/>
    <s v="Y"/>
    <x v="1"/>
    <n v="21"/>
    <n v="4"/>
    <n v="1"/>
    <n v="80"/>
    <n v="0"/>
    <n v="8"/>
    <n v="1"/>
    <x v="1"/>
    <n v="1"/>
    <n v="0"/>
    <n v="0"/>
    <n v="0"/>
    <x v="1"/>
    <x v="1"/>
  </r>
  <r>
    <n v="46"/>
    <x v="1"/>
    <s v="Travel_Frequently"/>
    <n v="1211"/>
    <x v="0"/>
    <n v="5"/>
    <n v="4"/>
    <s v="Marketing"/>
    <n v="1"/>
    <x v="48"/>
    <n v="1"/>
    <s v="Male"/>
    <n v="98"/>
    <n v="3"/>
    <n v="2"/>
    <x v="0"/>
    <x v="0"/>
    <s v="Single"/>
    <n v="5772"/>
    <n v="20445"/>
    <n v="4"/>
    <s v="Y"/>
    <x v="0"/>
    <n v="21"/>
    <n v="4"/>
    <n v="3"/>
    <n v="80"/>
    <n v="0"/>
    <n v="14"/>
    <n v="4"/>
    <x v="1"/>
    <n v="9"/>
    <n v="6"/>
    <n v="0"/>
    <n v="8"/>
    <x v="0"/>
    <x v="0"/>
  </r>
  <r>
    <n v="35"/>
    <x v="1"/>
    <s v="Travel_Rarely"/>
    <n v="1229"/>
    <x v="1"/>
    <n v="8"/>
    <n v="1"/>
    <s v="Life Sciences"/>
    <n v="1"/>
    <x v="49"/>
    <n v="4"/>
    <s v="Male"/>
    <n v="36"/>
    <n v="4"/>
    <n v="1"/>
    <x v="2"/>
    <x v="0"/>
    <s v="Married"/>
    <n v="2269"/>
    <n v="4892"/>
    <n v="1"/>
    <s v="Y"/>
    <x v="1"/>
    <n v="19"/>
    <n v="3"/>
    <n v="4"/>
    <n v="80"/>
    <n v="0"/>
    <n v="1"/>
    <n v="2"/>
    <x v="1"/>
    <n v="1"/>
    <n v="0"/>
    <n v="0"/>
    <n v="1"/>
    <x v="1"/>
    <x v="1"/>
  </r>
  <r>
    <n v="48"/>
    <x v="0"/>
    <s v="Travel_Rarely"/>
    <n v="626"/>
    <x v="1"/>
    <n v="1"/>
    <n v="2"/>
    <s v="Life Sciences"/>
    <n v="1"/>
    <x v="50"/>
    <n v="1"/>
    <s v="Male"/>
    <n v="98"/>
    <n v="2"/>
    <n v="3"/>
    <x v="2"/>
    <x v="2"/>
    <s v="Single"/>
    <n v="5381"/>
    <n v="19294"/>
    <n v="9"/>
    <s v="Y"/>
    <x v="0"/>
    <n v="13"/>
    <n v="3"/>
    <n v="4"/>
    <n v="80"/>
    <n v="0"/>
    <n v="23"/>
    <n v="2"/>
    <x v="1"/>
    <n v="1"/>
    <n v="0"/>
    <n v="0"/>
    <n v="0"/>
    <x v="0"/>
    <x v="0"/>
  </r>
  <r>
    <n v="28"/>
    <x v="0"/>
    <s v="Travel_Rarely"/>
    <n v="1434"/>
    <x v="1"/>
    <n v="5"/>
    <n v="4"/>
    <s v="Technical Degree"/>
    <n v="1"/>
    <x v="51"/>
    <n v="3"/>
    <s v="Male"/>
    <n v="50"/>
    <n v="3"/>
    <n v="1"/>
    <x v="2"/>
    <x v="2"/>
    <s v="Single"/>
    <n v="3441"/>
    <n v="11179"/>
    <n v="1"/>
    <s v="Y"/>
    <x v="0"/>
    <n v="13"/>
    <n v="3"/>
    <n v="3"/>
    <n v="80"/>
    <n v="0"/>
    <n v="2"/>
    <n v="3"/>
    <x v="2"/>
    <n v="2"/>
    <n v="2"/>
    <n v="2"/>
    <n v="2"/>
    <x v="2"/>
    <x v="1"/>
  </r>
  <r>
    <n v="44"/>
    <x v="1"/>
    <s v="Travel_Rarely"/>
    <n v="1488"/>
    <x v="0"/>
    <n v="1"/>
    <n v="5"/>
    <s v="Marketing"/>
    <n v="1"/>
    <x v="52"/>
    <n v="2"/>
    <s v="Female"/>
    <n v="75"/>
    <n v="3"/>
    <n v="2"/>
    <x v="0"/>
    <x v="3"/>
    <s v="Divorced"/>
    <n v="5454"/>
    <n v="4009"/>
    <n v="5"/>
    <s v="Y"/>
    <x v="0"/>
    <n v="21"/>
    <n v="4"/>
    <n v="3"/>
    <n v="80"/>
    <n v="1"/>
    <n v="9"/>
    <n v="2"/>
    <x v="2"/>
    <n v="4"/>
    <n v="3"/>
    <n v="1"/>
    <n v="3"/>
    <x v="0"/>
    <x v="0"/>
  </r>
  <r>
    <n v="35"/>
    <x v="1"/>
    <s v="Non-Travel"/>
    <n v="1097"/>
    <x v="1"/>
    <n v="11"/>
    <n v="2"/>
    <s v="Medical"/>
    <n v="1"/>
    <x v="53"/>
    <n v="3"/>
    <s v="Male"/>
    <n v="79"/>
    <n v="2"/>
    <n v="3"/>
    <x v="4"/>
    <x v="3"/>
    <s v="Married"/>
    <n v="9884"/>
    <n v="8302"/>
    <n v="2"/>
    <s v="Y"/>
    <x v="0"/>
    <n v="13"/>
    <n v="3"/>
    <n v="3"/>
    <n v="80"/>
    <n v="1"/>
    <n v="10"/>
    <n v="3"/>
    <x v="1"/>
    <n v="4"/>
    <n v="0"/>
    <n v="2"/>
    <n v="3"/>
    <x v="1"/>
    <x v="2"/>
  </r>
  <r>
    <n v="26"/>
    <x v="1"/>
    <s v="Travel_Rarely"/>
    <n v="1443"/>
    <x v="0"/>
    <n v="23"/>
    <n v="3"/>
    <s v="Marketing"/>
    <n v="1"/>
    <x v="54"/>
    <n v="3"/>
    <s v="Female"/>
    <n v="47"/>
    <n v="2"/>
    <n v="2"/>
    <x v="0"/>
    <x v="0"/>
    <s v="Married"/>
    <n v="4157"/>
    <n v="21436"/>
    <n v="7"/>
    <s v="Y"/>
    <x v="0"/>
    <n v="19"/>
    <n v="3"/>
    <n v="3"/>
    <n v="80"/>
    <n v="1"/>
    <n v="5"/>
    <n v="2"/>
    <x v="2"/>
    <n v="2"/>
    <n v="2"/>
    <n v="0"/>
    <n v="0"/>
    <x v="2"/>
    <x v="0"/>
  </r>
  <r>
    <n v="33"/>
    <x v="1"/>
    <s v="Travel_Frequently"/>
    <n v="515"/>
    <x v="1"/>
    <n v="1"/>
    <n v="2"/>
    <s v="Life Sciences"/>
    <n v="1"/>
    <x v="55"/>
    <n v="1"/>
    <s v="Female"/>
    <n v="98"/>
    <n v="3"/>
    <n v="3"/>
    <x v="7"/>
    <x v="0"/>
    <s v="Single"/>
    <n v="13458"/>
    <n v="15146"/>
    <n v="1"/>
    <s v="Y"/>
    <x v="0"/>
    <n v="12"/>
    <n v="3"/>
    <n v="3"/>
    <n v="80"/>
    <n v="0"/>
    <n v="15"/>
    <n v="1"/>
    <x v="1"/>
    <n v="15"/>
    <n v="14"/>
    <n v="8"/>
    <n v="12"/>
    <x v="1"/>
    <x v="2"/>
  </r>
  <r>
    <n v="35"/>
    <x v="1"/>
    <s v="Travel_Frequently"/>
    <n v="853"/>
    <x v="0"/>
    <n v="18"/>
    <n v="5"/>
    <s v="Life Sciences"/>
    <n v="1"/>
    <x v="56"/>
    <n v="2"/>
    <s v="Male"/>
    <n v="71"/>
    <n v="3"/>
    <n v="3"/>
    <x v="0"/>
    <x v="3"/>
    <s v="Married"/>
    <n v="9069"/>
    <n v="11031"/>
    <n v="1"/>
    <s v="Y"/>
    <x v="1"/>
    <n v="22"/>
    <n v="4"/>
    <n v="4"/>
    <n v="80"/>
    <n v="1"/>
    <n v="9"/>
    <n v="3"/>
    <x v="2"/>
    <n v="9"/>
    <n v="8"/>
    <n v="1"/>
    <n v="8"/>
    <x v="1"/>
    <x v="2"/>
  </r>
  <r>
    <n v="35"/>
    <x v="1"/>
    <s v="Travel_Rarely"/>
    <n v="1142"/>
    <x v="1"/>
    <n v="23"/>
    <n v="4"/>
    <s v="Medical"/>
    <n v="1"/>
    <x v="57"/>
    <n v="3"/>
    <s v="Female"/>
    <n v="30"/>
    <n v="3"/>
    <n v="1"/>
    <x v="2"/>
    <x v="3"/>
    <s v="Married"/>
    <n v="4014"/>
    <n v="16002"/>
    <n v="3"/>
    <s v="Y"/>
    <x v="0"/>
    <n v="15"/>
    <n v="3"/>
    <n v="3"/>
    <n v="80"/>
    <n v="1"/>
    <n v="4"/>
    <n v="3"/>
    <x v="1"/>
    <n v="2"/>
    <n v="2"/>
    <n v="2"/>
    <n v="2"/>
    <x v="1"/>
    <x v="0"/>
  </r>
  <r>
    <n v="31"/>
    <x v="1"/>
    <s v="Travel_Rarely"/>
    <n v="655"/>
    <x v="1"/>
    <n v="7"/>
    <n v="4"/>
    <s v="Life Sciences"/>
    <n v="1"/>
    <x v="58"/>
    <n v="4"/>
    <s v="Male"/>
    <n v="48"/>
    <n v="3"/>
    <n v="2"/>
    <x v="2"/>
    <x v="0"/>
    <s v="Divorced"/>
    <n v="5915"/>
    <n v="9528"/>
    <n v="3"/>
    <s v="Y"/>
    <x v="1"/>
    <n v="22"/>
    <n v="4"/>
    <n v="4"/>
    <n v="80"/>
    <n v="1"/>
    <n v="10"/>
    <n v="3"/>
    <x v="2"/>
    <n v="7"/>
    <n v="7"/>
    <n v="1"/>
    <n v="7"/>
    <x v="1"/>
    <x v="0"/>
  </r>
  <r>
    <n v="37"/>
    <x v="1"/>
    <s v="Travel_Rarely"/>
    <n v="1115"/>
    <x v="1"/>
    <n v="1"/>
    <n v="4"/>
    <s v="Life Sciences"/>
    <n v="1"/>
    <x v="59"/>
    <n v="1"/>
    <s v="Male"/>
    <n v="51"/>
    <n v="2"/>
    <n v="2"/>
    <x v="3"/>
    <x v="2"/>
    <s v="Divorced"/>
    <n v="5993"/>
    <n v="2689"/>
    <n v="1"/>
    <s v="Y"/>
    <x v="1"/>
    <n v="18"/>
    <n v="3"/>
    <n v="3"/>
    <n v="80"/>
    <n v="1"/>
    <n v="7"/>
    <n v="2"/>
    <x v="3"/>
    <n v="7"/>
    <n v="5"/>
    <n v="0"/>
    <n v="7"/>
    <x v="1"/>
    <x v="0"/>
  </r>
  <r>
    <n v="32"/>
    <x v="1"/>
    <s v="Travel_Rarely"/>
    <n v="427"/>
    <x v="1"/>
    <n v="1"/>
    <n v="3"/>
    <s v="Medical"/>
    <n v="1"/>
    <x v="60"/>
    <n v="1"/>
    <s v="Male"/>
    <n v="33"/>
    <n v="3"/>
    <n v="2"/>
    <x v="3"/>
    <x v="0"/>
    <s v="Married"/>
    <n v="6162"/>
    <n v="10877"/>
    <n v="1"/>
    <s v="Y"/>
    <x v="0"/>
    <n v="22"/>
    <n v="4"/>
    <n v="2"/>
    <n v="80"/>
    <n v="1"/>
    <n v="9"/>
    <n v="3"/>
    <x v="1"/>
    <n v="9"/>
    <n v="8"/>
    <n v="7"/>
    <n v="8"/>
    <x v="1"/>
    <x v="0"/>
  </r>
  <r>
    <n v="38"/>
    <x v="1"/>
    <s v="Travel_Frequently"/>
    <n v="653"/>
    <x v="1"/>
    <n v="29"/>
    <n v="5"/>
    <s v="Life Sciences"/>
    <n v="1"/>
    <x v="61"/>
    <n v="4"/>
    <s v="Female"/>
    <n v="50"/>
    <n v="3"/>
    <n v="2"/>
    <x v="2"/>
    <x v="0"/>
    <s v="Single"/>
    <n v="2406"/>
    <n v="5456"/>
    <n v="1"/>
    <s v="Y"/>
    <x v="1"/>
    <n v="11"/>
    <n v="3"/>
    <n v="4"/>
    <n v="80"/>
    <n v="0"/>
    <n v="10"/>
    <n v="2"/>
    <x v="1"/>
    <n v="10"/>
    <n v="3"/>
    <n v="9"/>
    <n v="9"/>
    <x v="1"/>
    <x v="1"/>
  </r>
  <r>
    <n v="50"/>
    <x v="1"/>
    <s v="Travel_Rarely"/>
    <n v="989"/>
    <x v="1"/>
    <n v="7"/>
    <n v="2"/>
    <s v="Medical"/>
    <n v="1"/>
    <x v="62"/>
    <n v="2"/>
    <s v="Female"/>
    <n v="43"/>
    <n v="2"/>
    <n v="5"/>
    <x v="7"/>
    <x v="2"/>
    <s v="Divorced"/>
    <n v="18740"/>
    <n v="16701"/>
    <n v="5"/>
    <s v="Y"/>
    <x v="0"/>
    <n v="12"/>
    <n v="3"/>
    <n v="4"/>
    <n v="80"/>
    <n v="1"/>
    <n v="29"/>
    <n v="2"/>
    <x v="2"/>
    <n v="27"/>
    <n v="3"/>
    <n v="13"/>
    <n v="8"/>
    <x v="0"/>
    <x v="2"/>
  </r>
  <r>
    <n v="59"/>
    <x v="1"/>
    <s v="Travel_Rarely"/>
    <n v="1435"/>
    <x v="0"/>
    <n v="25"/>
    <n v="3"/>
    <s v="Life Sciences"/>
    <n v="1"/>
    <x v="63"/>
    <n v="1"/>
    <s v="Female"/>
    <n v="99"/>
    <n v="3"/>
    <n v="3"/>
    <x v="0"/>
    <x v="3"/>
    <s v="Single"/>
    <n v="7637"/>
    <n v="2354"/>
    <n v="7"/>
    <s v="Y"/>
    <x v="1"/>
    <n v="11"/>
    <n v="3"/>
    <n v="4"/>
    <n v="80"/>
    <n v="0"/>
    <n v="28"/>
    <n v="3"/>
    <x v="2"/>
    <n v="21"/>
    <n v="16"/>
    <n v="7"/>
    <n v="9"/>
    <x v="3"/>
    <x v="2"/>
  </r>
  <r>
    <n v="36"/>
    <x v="1"/>
    <s v="Travel_Rarely"/>
    <n v="1223"/>
    <x v="1"/>
    <n v="8"/>
    <n v="3"/>
    <s v="Technical Degree"/>
    <n v="1"/>
    <x v="64"/>
    <n v="3"/>
    <s v="Female"/>
    <n v="59"/>
    <n v="3"/>
    <n v="3"/>
    <x v="4"/>
    <x v="2"/>
    <s v="Divorced"/>
    <n v="10096"/>
    <n v="8202"/>
    <n v="1"/>
    <s v="Y"/>
    <x v="1"/>
    <n v="13"/>
    <n v="3"/>
    <n v="2"/>
    <n v="80"/>
    <n v="3"/>
    <n v="17"/>
    <n v="2"/>
    <x v="1"/>
    <n v="17"/>
    <n v="14"/>
    <n v="12"/>
    <n v="8"/>
    <x v="1"/>
    <x v="2"/>
  </r>
  <r>
    <n v="55"/>
    <x v="1"/>
    <s v="Travel_Rarely"/>
    <n v="836"/>
    <x v="1"/>
    <n v="8"/>
    <n v="3"/>
    <s v="Medical"/>
    <n v="1"/>
    <x v="65"/>
    <n v="4"/>
    <s v="Female"/>
    <n v="33"/>
    <n v="3"/>
    <n v="4"/>
    <x v="5"/>
    <x v="2"/>
    <s v="Divorced"/>
    <n v="14756"/>
    <n v="19730"/>
    <n v="2"/>
    <s v="Y"/>
    <x v="0"/>
    <n v="14"/>
    <n v="3"/>
    <n v="3"/>
    <n v="80"/>
    <n v="3"/>
    <n v="21"/>
    <n v="2"/>
    <x v="1"/>
    <n v="5"/>
    <n v="0"/>
    <n v="0"/>
    <n v="2"/>
    <x v="3"/>
    <x v="2"/>
  </r>
  <r>
    <n v="36"/>
    <x v="1"/>
    <s v="Travel_Frequently"/>
    <n v="1195"/>
    <x v="1"/>
    <n v="11"/>
    <n v="3"/>
    <s v="Life Sciences"/>
    <n v="1"/>
    <x v="66"/>
    <n v="2"/>
    <s v="Male"/>
    <n v="95"/>
    <n v="2"/>
    <n v="2"/>
    <x v="3"/>
    <x v="1"/>
    <s v="Single"/>
    <n v="6499"/>
    <n v="22656"/>
    <n v="1"/>
    <s v="Y"/>
    <x v="1"/>
    <n v="13"/>
    <n v="3"/>
    <n v="3"/>
    <n v="80"/>
    <n v="0"/>
    <n v="6"/>
    <n v="3"/>
    <x v="1"/>
    <n v="6"/>
    <n v="5"/>
    <n v="0"/>
    <n v="3"/>
    <x v="1"/>
    <x v="0"/>
  </r>
  <r>
    <n v="45"/>
    <x v="1"/>
    <s v="Travel_Rarely"/>
    <n v="1339"/>
    <x v="1"/>
    <n v="7"/>
    <n v="3"/>
    <s v="Life Sciences"/>
    <n v="1"/>
    <x v="67"/>
    <n v="2"/>
    <s v="Male"/>
    <n v="59"/>
    <n v="3"/>
    <n v="3"/>
    <x v="1"/>
    <x v="3"/>
    <s v="Divorced"/>
    <n v="9724"/>
    <n v="18787"/>
    <n v="2"/>
    <s v="Y"/>
    <x v="1"/>
    <n v="17"/>
    <n v="3"/>
    <n v="3"/>
    <n v="80"/>
    <n v="1"/>
    <n v="25"/>
    <n v="2"/>
    <x v="1"/>
    <n v="1"/>
    <n v="0"/>
    <n v="0"/>
    <n v="0"/>
    <x v="0"/>
    <x v="2"/>
  </r>
  <r>
    <n v="35"/>
    <x v="1"/>
    <s v="Travel_Frequently"/>
    <n v="664"/>
    <x v="1"/>
    <n v="1"/>
    <n v="3"/>
    <s v="Medical"/>
    <n v="1"/>
    <x v="68"/>
    <n v="2"/>
    <s v="Male"/>
    <n v="79"/>
    <n v="3"/>
    <n v="1"/>
    <x v="1"/>
    <x v="3"/>
    <s v="Married"/>
    <n v="2194"/>
    <n v="5868"/>
    <n v="4"/>
    <s v="Y"/>
    <x v="1"/>
    <n v="13"/>
    <n v="3"/>
    <n v="4"/>
    <n v="80"/>
    <n v="1"/>
    <n v="5"/>
    <n v="2"/>
    <x v="2"/>
    <n v="3"/>
    <n v="2"/>
    <n v="1"/>
    <n v="2"/>
    <x v="1"/>
    <x v="1"/>
  </r>
  <r>
    <n v="36"/>
    <x v="0"/>
    <s v="Travel_Rarely"/>
    <n v="318"/>
    <x v="1"/>
    <n v="9"/>
    <n v="3"/>
    <s v="Medical"/>
    <n v="1"/>
    <x v="69"/>
    <n v="4"/>
    <s v="Male"/>
    <n v="79"/>
    <n v="2"/>
    <n v="1"/>
    <x v="1"/>
    <x v="2"/>
    <s v="Married"/>
    <n v="3388"/>
    <n v="21777"/>
    <n v="0"/>
    <s v="Y"/>
    <x v="0"/>
    <n v="17"/>
    <n v="3"/>
    <n v="1"/>
    <n v="80"/>
    <n v="1"/>
    <n v="2"/>
    <n v="0"/>
    <x v="2"/>
    <n v="1"/>
    <n v="0"/>
    <n v="0"/>
    <n v="0"/>
    <x v="1"/>
    <x v="1"/>
  </r>
  <r>
    <n v="59"/>
    <x v="1"/>
    <s v="Travel_Frequently"/>
    <n v="1225"/>
    <x v="0"/>
    <n v="1"/>
    <n v="1"/>
    <s v="Life Sciences"/>
    <n v="1"/>
    <x v="70"/>
    <n v="1"/>
    <s v="Female"/>
    <n v="57"/>
    <n v="2"/>
    <n v="2"/>
    <x v="0"/>
    <x v="2"/>
    <s v="Single"/>
    <n v="5473"/>
    <n v="24668"/>
    <n v="7"/>
    <s v="Y"/>
    <x v="1"/>
    <n v="11"/>
    <n v="3"/>
    <n v="4"/>
    <n v="80"/>
    <n v="0"/>
    <n v="20"/>
    <n v="2"/>
    <x v="2"/>
    <n v="4"/>
    <n v="3"/>
    <n v="1"/>
    <n v="3"/>
    <x v="3"/>
    <x v="0"/>
  </r>
  <r>
    <n v="29"/>
    <x v="1"/>
    <s v="Travel_Rarely"/>
    <n v="1328"/>
    <x v="1"/>
    <n v="2"/>
    <n v="3"/>
    <s v="Life Sciences"/>
    <n v="1"/>
    <x v="71"/>
    <n v="3"/>
    <s v="Male"/>
    <n v="76"/>
    <n v="3"/>
    <n v="1"/>
    <x v="1"/>
    <x v="1"/>
    <s v="Married"/>
    <n v="2703"/>
    <n v="4956"/>
    <n v="0"/>
    <s v="Y"/>
    <x v="1"/>
    <n v="23"/>
    <n v="4"/>
    <n v="4"/>
    <n v="80"/>
    <n v="1"/>
    <n v="6"/>
    <n v="3"/>
    <x v="1"/>
    <n v="5"/>
    <n v="4"/>
    <n v="0"/>
    <n v="4"/>
    <x v="2"/>
    <x v="1"/>
  </r>
  <r>
    <n v="31"/>
    <x v="1"/>
    <s v="Travel_Rarely"/>
    <n v="1082"/>
    <x v="1"/>
    <n v="1"/>
    <n v="4"/>
    <s v="Medical"/>
    <n v="1"/>
    <x v="72"/>
    <n v="3"/>
    <s v="Male"/>
    <n v="87"/>
    <n v="3"/>
    <n v="1"/>
    <x v="1"/>
    <x v="1"/>
    <s v="Single"/>
    <n v="2501"/>
    <n v="18775"/>
    <n v="1"/>
    <s v="Y"/>
    <x v="1"/>
    <n v="17"/>
    <n v="3"/>
    <n v="2"/>
    <n v="80"/>
    <n v="0"/>
    <n v="1"/>
    <n v="4"/>
    <x v="1"/>
    <n v="1"/>
    <n v="1"/>
    <n v="1"/>
    <n v="0"/>
    <x v="1"/>
    <x v="1"/>
  </r>
  <r>
    <n v="32"/>
    <x v="1"/>
    <s v="Travel_Rarely"/>
    <n v="548"/>
    <x v="1"/>
    <n v="1"/>
    <n v="3"/>
    <s v="Life Sciences"/>
    <n v="1"/>
    <x v="73"/>
    <n v="2"/>
    <s v="Male"/>
    <n v="66"/>
    <n v="3"/>
    <n v="2"/>
    <x v="1"/>
    <x v="1"/>
    <s v="Married"/>
    <n v="6220"/>
    <n v="7346"/>
    <n v="1"/>
    <s v="Y"/>
    <x v="1"/>
    <n v="17"/>
    <n v="3"/>
    <n v="2"/>
    <n v="80"/>
    <n v="2"/>
    <n v="10"/>
    <n v="3"/>
    <x v="1"/>
    <n v="10"/>
    <n v="4"/>
    <n v="0"/>
    <n v="9"/>
    <x v="1"/>
    <x v="0"/>
  </r>
  <r>
    <n v="36"/>
    <x v="1"/>
    <s v="Travel_Rarely"/>
    <n v="132"/>
    <x v="1"/>
    <n v="6"/>
    <n v="3"/>
    <s v="Life Sciences"/>
    <n v="1"/>
    <x v="74"/>
    <n v="2"/>
    <s v="Female"/>
    <n v="55"/>
    <n v="4"/>
    <n v="1"/>
    <x v="2"/>
    <x v="0"/>
    <s v="Married"/>
    <n v="3038"/>
    <n v="22002"/>
    <n v="3"/>
    <s v="Y"/>
    <x v="1"/>
    <n v="12"/>
    <n v="3"/>
    <n v="2"/>
    <n v="80"/>
    <n v="0"/>
    <n v="5"/>
    <n v="3"/>
    <x v="1"/>
    <n v="1"/>
    <n v="0"/>
    <n v="0"/>
    <n v="0"/>
    <x v="1"/>
    <x v="1"/>
  </r>
  <r>
    <n v="31"/>
    <x v="1"/>
    <s v="Travel_Rarely"/>
    <n v="746"/>
    <x v="1"/>
    <n v="8"/>
    <n v="4"/>
    <s v="Life Sciences"/>
    <n v="1"/>
    <x v="75"/>
    <n v="3"/>
    <s v="Female"/>
    <n v="61"/>
    <n v="3"/>
    <n v="2"/>
    <x v="3"/>
    <x v="0"/>
    <s v="Single"/>
    <n v="4424"/>
    <n v="20682"/>
    <n v="1"/>
    <s v="Y"/>
    <x v="1"/>
    <n v="23"/>
    <n v="4"/>
    <n v="4"/>
    <n v="80"/>
    <n v="0"/>
    <n v="11"/>
    <n v="2"/>
    <x v="1"/>
    <n v="11"/>
    <n v="7"/>
    <n v="1"/>
    <n v="8"/>
    <x v="1"/>
    <x v="0"/>
  </r>
  <r>
    <n v="35"/>
    <x v="1"/>
    <s v="Travel_Rarely"/>
    <n v="776"/>
    <x v="0"/>
    <n v="1"/>
    <n v="4"/>
    <s v="Marketing"/>
    <n v="1"/>
    <x v="76"/>
    <n v="3"/>
    <s v="Male"/>
    <n v="32"/>
    <n v="2"/>
    <n v="2"/>
    <x v="0"/>
    <x v="3"/>
    <s v="Single"/>
    <n v="4312"/>
    <n v="23016"/>
    <n v="0"/>
    <s v="Y"/>
    <x v="1"/>
    <n v="14"/>
    <n v="3"/>
    <n v="2"/>
    <n v="80"/>
    <n v="0"/>
    <n v="16"/>
    <n v="2"/>
    <x v="1"/>
    <n v="15"/>
    <n v="13"/>
    <n v="2"/>
    <n v="8"/>
    <x v="1"/>
    <x v="0"/>
  </r>
  <r>
    <n v="45"/>
    <x v="1"/>
    <s v="Travel_Rarely"/>
    <n v="193"/>
    <x v="1"/>
    <n v="6"/>
    <n v="4"/>
    <s v="Other"/>
    <n v="1"/>
    <x v="77"/>
    <n v="4"/>
    <s v="Male"/>
    <n v="52"/>
    <n v="3"/>
    <n v="3"/>
    <x v="7"/>
    <x v="3"/>
    <s v="Married"/>
    <n v="13245"/>
    <n v="15067"/>
    <n v="4"/>
    <s v="Y"/>
    <x v="0"/>
    <n v="14"/>
    <n v="3"/>
    <n v="2"/>
    <n v="80"/>
    <n v="0"/>
    <n v="17"/>
    <n v="3"/>
    <x v="3"/>
    <n v="0"/>
    <n v="0"/>
    <n v="0"/>
    <n v="0"/>
    <x v="0"/>
    <x v="2"/>
  </r>
  <r>
    <n v="37"/>
    <x v="1"/>
    <s v="Travel_Rarely"/>
    <n v="397"/>
    <x v="1"/>
    <n v="7"/>
    <n v="4"/>
    <s v="Medical"/>
    <n v="1"/>
    <x v="78"/>
    <n v="1"/>
    <s v="Male"/>
    <n v="30"/>
    <n v="3"/>
    <n v="3"/>
    <x v="7"/>
    <x v="2"/>
    <s v="Single"/>
    <n v="13664"/>
    <n v="25258"/>
    <n v="4"/>
    <s v="Y"/>
    <x v="1"/>
    <n v="13"/>
    <n v="3"/>
    <n v="1"/>
    <n v="80"/>
    <n v="0"/>
    <n v="16"/>
    <n v="3"/>
    <x v="3"/>
    <n v="5"/>
    <n v="2"/>
    <n v="0"/>
    <n v="2"/>
    <x v="1"/>
    <x v="2"/>
  </r>
  <r>
    <n v="46"/>
    <x v="1"/>
    <s v="Travel_Rarely"/>
    <n v="945"/>
    <x v="2"/>
    <n v="5"/>
    <n v="2"/>
    <s v="Medical"/>
    <n v="1"/>
    <x v="79"/>
    <n v="2"/>
    <s v="Male"/>
    <n v="80"/>
    <n v="3"/>
    <n v="2"/>
    <x v="8"/>
    <x v="1"/>
    <s v="Divorced"/>
    <n v="5021"/>
    <n v="10425"/>
    <n v="8"/>
    <s v="Y"/>
    <x v="0"/>
    <n v="22"/>
    <n v="4"/>
    <n v="4"/>
    <n v="80"/>
    <n v="1"/>
    <n v="16"/>
    <n v="2"/>
    <x v="1"/>
    <n v="4"/>
    <n v="2"/>
    <n v="0"/>
    <n v="2"/>
    <x v="0"/>
    <x v="0"/>
  </r>
  <r>
    <n v="30"/>
    <x v="1"/>
    <s v="Travel_Rarely"/>
    <n v="852"/>
    <x v="1"/>
    <n v="1"/>
    <n v="1"/>
    <s v="Life Sciences"/>
    <n v="1"/>
    <x v="80"/>
    <n v="4"/>
    <s v="Male"/>
    <n v="55"/>
    <n v="2"/>
    <n v="2"/>
    <x v="2"/>
    <x v="0"/>
    <s v="Married"/>
    <n v="5126"/>
    <n v="15998"/>
    <n v="1"/>
    <s v="Y"/>
    <x v="0"/>
    <n v="12"/>
    <n v="3"/>
    <n v="3"/>
    <n v="80"/>
    <n v="2"/>
    <n v="10"/>
    <n v="1"/>
    <x v="2"/>
    <n v="10"/>
    <n v="8"/>
    <n v="3"/>
    <n v="0"/>
    <x v="1"/>
    <x v="0"/>
  </r>
  <r>
    <n v="35"/>
    <x v="1"/>
    <s v="Travel_Rarely"/>
    <n v="1214"/>
    <x v="1"/>
    <n v="1"/>
    <n v="3"/>
    <s v="Medical"/>
    <n v="1"/>
    <x v="81"/>
    <n v="2"/>
    <s v="Male"/>
    <n v="30"/>
    <n v="2"/>
    <n v="1"/>
    <x v="1"/>
    <x v="2"/>
    <s v="Single"/>
    <n v="2859"/>
    <n v="26278"/>
    <n v="1"/>
    <s v="Y"/>
    <x v="1"/>
    <n v="18"/>
    <n v="3"/>
    <n v="1"/>
    <n v="80"/>
    <n v="0"/>
    <n v="6"/>
    <n v="3"/>
    <x v="1"/>
    <n v="6"/>
    <n v="4"/>
    <n v="0"/>
    <n v="4"/>
    <x v="1"/>
    <x v="1"/>
  </r>
  <r>
    <n v="55"/>
    <x v="1"/>
    <s v="Travel_Rarely"/>
    <n v="111"/>
    <x v="0"/>
    <n v="1"/>
    <n v="2"/>
    <s v="Life Sciences"/>
    <n v="1"/>
    <x v="82"/>
    <n v="1"/>
    <s v="Male"/>
    <n v="70"/>
    <n v="3"/>
    <n v="3"/>
    <x v="0"/>
    <x v="0"/>
    <s v="Married"/>
    <n v="10239"/>
    <n v="18092"/>
    <n v="3"/>
    <s v="Y"/>
    <x v="1"/>
    <n v="14"/>
    <n v="3"/>
    <n v="4"/>
    <n v="80"/>
    <n v="1"/>
    <n v="24"/>
    <n v="4"/>
    <x v="1"/>
    <n v="1"/>
    <n v="0"/>
    <n v="1"/>
    <n v="0"/>
    <x v="3"/>
    <x v="2"/>
  </r>
  <r>
    <n v="38"/>
    <x v="1"/>
    <s v="Non-Travel"/>
    <n v="573"/>
    <x v="1"/>
    <n v="6"/>
    <n v="3"/>
    <s v="Medical"/>
    <n v="1"/>
    <x v="83"/>
    <n v="2"/>
    <s v="Female"/>
    <n v="79"/>
    <n v="1"/>
    <n v="2"/>
    <x v="1"/>
    <x v="0"/>
    <s v="Divorced"/>
    <n v="5329"/>
    <n v="15717"/>
    <n v="7"/>
    <s v="Y"/>
    <x v="0"/>
    <n v="12"/>
    <n v="3"/>
    <n v="4"/>
    <n v="80"/>
    <n v="3"/>
    <n v="17"/>
    <n v="3"/>
    <x v="1"/>
    <n v="13"/>
    <n v="11"/>
    <n v="1"/>
    <n v="9"/>
    <x v="1"/>
    <x v="0"/>
  </r>
  <r>
    <n v="34"/>
    <x v="1"/>
    <s v="Travel_Rarely"/>
    <n v="1153"/>
    <x v="1"/>
    <n v="1"/>
    <n v="2"/>
    <s v="Medical"/>
    <n v="1"/>
    <x v="84"/>
    <n v="1"/>
    <s v="Male"/>
    <n v="94"/>
    <n v="3"/>
    <n v="2"/>
    <x v="3"/>
    <x v="1"/>
    <s v="Married"/>
    <n v="4325"/>
    <n v="17736"/>
    <n v="1"/>
    <s v="Y"/>
    <x v="1"/>
    <n v="15"/>
    <n v="3"/>
    <n v="3"/>
    <n v="80"/>
    <n v="0"/>
    <n v="5"/>
    <n v="2"/>
    <x v="1"/>
    <n v="5"/>
    <n v="2"/>
    <n v="1"/>
    <n v="3"/>
    <x v="1"/>
    <x v="0"/>
  </r>
  <r>
    <n v="56"/>
    <x v="1"/>
    <s v="Travel_Rarely"/>
    <n v="1400"/>
    <x v="1"/>
    <n v="7"/>
    <n v="3"/>
    <s v="Life Sciences"/>
    <n v="1"/>
    <x v="85"/>
    <n v="4"/>
    <s v="Male"/>
    <n v="49"/>
    <n v="1"/>
    <n v="3"/>
    <x v="3"/>
    <x v="0"/>
    <s v="Single"/>
    <n v="7260"/>
    <n v="21698"/>
    <n v="4"/>
    <s v="Y"/>
    <x v="1"/>
    <n v="11"/>
    <n v="3"/>
    <n v="1"/>
    <n v="80"/>
    <n v="0"/>
    <n v="37"/>
    <n v="3"/>
    <x v="2"/>
    <n v="6"/>
    <n v="4"/>
    <n v="0"/>
    <n v="2"/>
    <x v="3"/>
    <x v="2"/>
  </r>
  <r>
    <n v="23"/>
    <x v="1"/>
    <s v="Travel_Rarely"/>
    <n v="541"/>
    <x v="0"/>
    <n v="2"/>
    <n v="1"/>
    <s v="Technical Degree"/>
    <n v="1"/>
    <x v="86"/>
    <n v="3"/>
    <s v="Male"/>
    <n v="62"/>
    <n v="3"/>
    <n v="1"/>
    <x v="6"/>
    <x v="3"/>
    <s v="Divorced"/>
    <n v="2322"/>
    <n v="9518"/>
    <n v="3"/>
    <s v="Y"/>
    <x v="1"/>
    <n v="13"/>
    <n v="3"/>
    <n v="3"/>
    <n v="80"/>
    <n v="1"/>
    <n v="3"/>
    <n v="3"/>
    <x v="1"/>
    <n v="0"/>
    <n v="0"/>
    <n v="0"/>
    <n v="0"/>
    <x v="2"/>
    <x v="1"/>
  </r>
  <r>
    <n v="51"/>
    <x v="1"/>
    <s v="Travel_Rarely"/>
    <n v="432"/>
    <x v="1"/>
    <n v="9"/>
    <n v="4"/>
    <s v="Life Sciences"/>
    <n v="1"/>
    <x v="87"/>
    <n v="4"/>
    <s v="Male"/>
    <n v="96"/>
    <n v="3"/>
    <n v="1"/>
    <x v="2"/>
    <x v="0"/>
    <s v="Married"/>
    <n v="2075"/>
    <n v="18725"/>
    <n v="3"/>
    <s v="Y"/>
    <x v="1"/>
    <n v="23"/>
    <n v="4"/>
    <n v="2"/>
    <n v="80"/>
    <n v="2"/>
    <n v="10"/>
    <n v="4"/>
    <x v="1"/>
    <n v="4"/>
    <n v="2"/>
    <n v="0"/>
    <n v="3"/>
    <x v="3"/>
    <x v="1"/>
  </r>
  <r>
    <n v="30"/>
    <x v="1"/>
    <s v="Travel_Rarely"/>
    <n v="288"/>
    <x v="1"/>
    <n v="2"/>
    <n v="3"/>
    <s v="Life Sciences"/>
    <n v="1"/>
    <x v="88"/>
    <n v="3"/>
    <s v="Male"/>
    <n v="99"/>
    <n v="2"/>
    <n v="2"/>
    <x v="4"/>
    <x v="0"/>
    <s v="Married"/>
    <n v="4152"/>
    <n v="15830"/>
    <n v="1"/>
    <s v="Y"/>
    <x v="1"/>
    <n v="19"/>
    <n v="3"/>
    <n v="1"/>
    <n v="80"/>
    <n v="3"/>
    <n v="11"/>
    <n v="3"/>
    <x v="1"/>
    <n v="11"/>
    <n v="10"/>
    <n v="10"/>
    <n v="8"/>
    <x v="1"/>
    <x v="0"/>
  </r>
  <r>
    <n v="46"/>
    <x v="0"/>
    <s v="Travel_Rarely"/>
    <n v="669"/>
    <x v="0"/>
    <n v="9"/>
    <n v="2"/>
    <s v="Medical"/>
    <n v="1"/>
    <x v="89"/>
    <n v="3"/>
    <s v="Male"/>
    <n v="64"/>
    <n v="2"/>
    <n v="3"/>
    <x v="0"/>
    <x v="0"/>
    <s v="Single"/>
    <n v="9619"/>
    <n v="13596"/>
    <n v="1"/>
    <s v="Y"/>
    <x v="1"/>
    <n v="16"/>
    <n v="3"/>
    <n v="4"/>
    <n v="80"/>
    <n v="0"/>
    <n v="9"/>
    <n v="3"/>
    <x v="1"/>
    <n v="9"/>
    <n v="8"/>
    <n v="4"/>
    <n v="7"/>
    <x v="0"/>
    <x v="2"/>
  </r>
  <r>
    <n v="40"/>
    <x v="1"/>
    <s v="Travel_Frequently"/>
    <n v="530"/>
    <x v="1"/>
    <n v="1"/>
    <n v="4"/>
    <s v="Life Sciences"/>
    <n v="1"/>
    <x v="90"/>
    <n v="3"/>
    <s v="Male"/>
    <n v="78"/>
    <n v="2"/>
    <n v="4"/>
    <x v="4"/>
    <x v="1"/>
    <s v="Married"/>
    <n v="13503"/>
    <n v="14115"/>
    <n v="1"/>
    <s v="Y"/>
    <x v="1"/>
    <n v="22"/>
    <n v="4"/>
    <n v="4"/>
    <n v="80"/>
    <n v="1"/>
    <n v="22"/>
    <n v="3"/>
    <x v="2"/>
    <n v="22"/>
    <n v="3"/>
    <n v="11"/>
    <n v="11"/>
    <x v="1"/>
    <x v="2"/>
  </r>
  <r>
    <n v="51"/>
    <x v="1"/>
    <s v="Travel_Rarely"/>
    <n v="632"/>
    <x v="0"/>
    <n v="21"/>
    <n v="4"/>
    <s v="Marketing"/>
    <n v="1"/>
    <x v="91"/>
    <n v="3"/>
    <s v="Male"/>
    <n v="71"/>
    <n v="3"/>
    <n v="2"/>
    <x v="0"/>
    <x v="0"/>
    <s v="Single"/>
    <n v="5441"/>
    <n v="8423"/>
    <n v="0"/>
    <s v="Y"/>
    <x v="0"/>
    <n v="22"/>
    <n v="4"/>
    <n v="4"/>
    <n v="80"/>
    <n v="0"/>
    <n v="11"/>
    <n v="2"/>
    <x v="0"/>
    <n v="10"/>
    <n v="7"/>
    <n v="1"/>
    <n v="0"/>
    <x v="3"/>
    <x v="0"/>
  </r>
  <r>
    <n v="30"/>
    <x v="1"/>
    <s v="Travel_Rarely"/>
    <n v="1334"/>
    <x v="0"/>
    <n v="4"/>
    <n v="2"/>
    <s v="Medical"/>
    <n v="1"/>
    <x v="92"/>
    <n v="3"/>
    <s v="Female"/>
    <n v="63"/>
    <n v="2"/>
    <n v="2"/>
    <x v="0"/>
    <x v="1"/>
    <s v="Divorced"/>
    <n v="5209"/>
    <n v="19760"/>
    <n v="1"/>
    <s v="Y"/>
    <x v="0"/>
    <n v="12"/>
    <n v="3"/>
    <n v="2"/>
    <n v="80"/>
    <n v="3"/>
    <n v="11"/>
    <n v="4"/>
    <x v="2"/>
    <n v="11"/>
    <n v="8"/>
    <n v="2"/>
    <n v="7"/>
    <x v="1"/>
    <x v="0"/>
  </r>
  <r>
    <n v="46"/>
    <x v="1"/>
    <s v="Travel_Frequently"/>
    <n v="638"/>
    <x v="1"/>
    <n v="1"/>
    <n v="3"/>
    <s v="Medical"/>
    <n v="1"/>
    <x v="93"/>
    <n v="3"/>
    <s v="Male"/>
    <n v="40"/>
    <n v="2"/>
    <n v="3"/>
    <x v="4"/>
    <x v="3"/>
    <s v="Married"/>
    <n v="10673"/>
    <n v="3142"/>
    <n v="2"/>
    <s v="Y"/>
    <x v="0"/>
    <n v="13"/>
    <n v="3"/>
    <n v="3"/>
    <n v="80"/>
    <n v="1"/>
    <n v="21"/>
    <n v="5"/>
    <x v="2"/>
    <n v="10"/>
    <n v="9"/>
    <n v="9"/>
    <n v="5"/>
    <x v="0"/>
    <x v="2"/>
  </r>
  <r>
    <n v="32"/>
    <x v="1"/>
    <s v="Travel_Rarely"/>
    <n v="1093"/>
    <x v="0"/>
    <n v="6"/>
    <n v="4"/>
    <s v="Medical"/>
    <n v="1"/>
    <x v="94"/>
    <n v="2"/>
    <s v="Male"/>
    <n v="87"/>
    <n v="3"/>
    <n v="2"/>
    <x v="0"/>
    <x v="2"/>
    <s v="Single"/>
    <n v="5010"/>
    <n v="24301"/>
    <n v="1"/>
    <s v="Y"/>
    <x v="1"/>
    <n v="16"/>
    <n v="3"/>
    <n v="1"/>
    <n v="80"/>
    <n v="0"/>
    <n v="12"/>
    <n v="0"/>
    <x v="1"/>
    <n v="11"/>
    <n v="8"/>
    <n v="5"/>
    <n v="7"/>
    <x v="1"/>
    <x v="0"/>
  </r>
  <r>
    <n v="54"/>
    <x v="1"/>
    <s v="Travel_Rarely"/>
    <n v="1217"/>
    <x v="1"/>
    <n v="2"/>
    <n v="4"/>
    <s v="Technical Degree"/>
    <n v="1"/>
    <x v="95"/>
    <n v="1"/>
    <s v="Female"/>
    <n v="60"/>
    <n v="3"/>
    <n v="3"/>
    <x v="7"/>
    <x v="2"/>
    <s v="Married"/>
    <n v="13549"/>
    <n v="24001"/>
    <n v="9"/>
    <s v="Y"/>
    <x v="1"/>
    <n v="12"/>
    <n v="3"/>
    <n v="1"/>
    <n v="80"/>
    <n v="1"/>
    <n v="16"/>
    <n v="5"/>
    <x v="0"/>
    <n v="4"/>
    <n v="3"/>
    <n v="0"/>
    <n v="3"/>
    <x v="3"/>
    <x v="2"/>
  </r>
  <r>
    <n v="24"/>
    <x v="1"/>
    <s v="Travel_Rarely"/>
    <n v="1353"/>
    <x v="0"/>
    <n v="3"/>
    <n v="2"/>
    <s v="Other"/>
    <n v="1"/>
    <x v="96"/>
    <n v="1"/>
    <s v="Female"/>
    <n v="33"/>
    <n v="3"/>
    <n v="2"/>
    <x v="0"/>
    <x v="2"/>
    <s v="Married"/>
    <n v="4999"/>
    <n v="17519"/>
    <n v="0"/>
    <s v="Y"/>
    <x v="1"/>
    <n v="21"/>
    <n v="4"/>
    <n v="1"/>
    <n v="80"/>
    <n v="1"/>
    <n v="4"/>
    <n v="2"/>
    <x v="2"/>
    <n v="3"/>
    <n v="2"/>
    <n v="0"/>
    <n v="2"/>
    <x v="2"/>
    <x v="0"/>
  </r>
  <r>
    <n v="28"/>
    <x v="1"/>
    <s v="Non-Travel"/>
    <n v="120"/>
    <x v="0"/>
    <n v="4"/>
    <n v="3"/>
    <s v="Medical"/>
    <n v="1"/>
    <x v="97"/>
    <n v="2"/>
    <s v="Male"/>
    <n v="43"/>
    <n v="3"/>
    <n v="2"/>
    <x v="0"/>
    <x v="2"/>
    <s v="Married"/>
    <n v="4221"/>
    <n v="8863"/>
    <n v="1"/>
    <s v="Y"/>
    <x v="1"/>
    <n v="15"/>
    <n v="3"/>
    <n v="2"/>
    <n v="80"/>
    <n v="0"/>
    <n v="5"/>
    <n v="3"/>
    <x v="3"/>
    <n v="5"/>
    <n v="4"/>
    <n v="0"/>
    <n v="4"/>
    <x v="2"/>
    <x v="0"/>
  </r>
  <r>
    <n v="58"/>
    <x v="1"/>
    <s v="Travel_Rarely"/>
    <n v="682"/>
    <x v="0"/>
    <n v="10"/>
    <n v="4"/>
    <s v="Medical"/>
    <n v="1"/>
    <x v="98"/>
    <n v="4"/>
    <s v="Male"/>
    <n v="37"/>
    <n v="3"/>
    <n v="4"/>
    <x v="0"/>
    <x v="2"/>
    <s v="Single"/>
    <n v="13872"/>
    <n v="24409"/>
    <n v="0"/>
    <s v="Y"/>
    <x v="1"/>
    <n v="13"/>
    <n v="3"/>
    <n v="3"/>
    <n v="80"/>
    <n v="0"/>
    <n v="38"/>
    <n v="1"/>
    <x v="2"/>
    <n v="37"/>
    <n v="10"/>
    <n v="1"/>
    <n v="8"/>
    <x v="3"/>
    <x v="2"/>
  </r>
  <r>
    <n v="44"/>
    <x v="1"/>
    <s v="Non-Travel"/>
    <n v="489"/>
    <x v="1"/>
    <n v="23"/>
    <n v="3"/>
    <s v="Medical"/>
    <n v="1"/>
    <x v="99"/>
    <n v="2"/>
    <s v="Male"/>
    <n v="67"/>
    <n v="3"/>
    <n v="2"/>
    <x v="2"/>
    <x v="1"/>
    <s v="Married"/>
    <n v="2042"/>
    <n v="25043"/>
    <n v="4"/>
    <s v="Y"/>
    <x v="1"/>
    <n v="12"/>
    <n v="3"/>
    <n v="3"/>
    <n v="80"/>
    <n v="1"/>
    <n v="17"/>
    <n v="3"/>
    <x v="3"/>
    <n v="3"/>
    <n v="2"/>
    <n v="1"/>
    <n v="2"/>
    <x v="0"/>
    <x v="1"/>
  </r>
  <r>
    <n v="37"/>
    <x v="0"/>
    <s v="Travel_Rarely"/>
    <n v="807"/>
    <x v="2"/>
    <n v="6"/>
    <n v="4"/>
    <s v="Human Resources"/>
    <n v="1"/>
    <x v="100"/>
    <n v="3"/>
    <s v="Male"/>
    <n v="63"/>
    <n v="3"/>
    <n v="1"/>
    <x v="8"/>
    <x v="3"/>
    <s v="Divorced"/>
    <n v="2073"/>
    <n v="23648"/>
    <n v="4"/>
    <s v="Y"/>
    <x v="0"/>
    <n v="22"/>
    <n v="4"/>
    <n v="4"/>
    <n v="80"/>
    <n v="0"/>
    <n v="7"/>
    <n v="3"/>
    <x v="1"/>
    <n v="3"/>
    <n v="2"/>
    <n v="0"/>
    <n v="2"/>
    <x v="1"/>
    <x v="1"/>
  </r>
  <r>
    <n v="32"/>
    <x v="1"/>
    <s v="Travel_Rarely"/>
    <n v="827"/>
    <x v="1"/>
    <n v="1"/>
    <n v="1"/>
    <s v="Life Sciences"/>
    <n v="1"/>
    <x v="101"/>
    <n v="4"/>
    <s v="Male"/>
    <n v="71"/>
    <n v="3"/>
    <n v="1"/>
    <x v="1"/>
    <x v="3"/>
    <s v="Single"/>
    <n v="2956"/>
    <n v="15178"/>
    <n v="1"/>
    <s v="Y"/>
    <x v="1"/>
    <n v="13"/>
    <n v="3"/>
    <n v="4"/>
    <n v="80"/>
    <n v="0"/>
    <n v="1"/>
    <n v="2"/>
    <x v="1"/>
    <n v="1"/>
    <n v="0"/>
    <n v="0"/>
    <n v="0"/>
    <x v="1"/>
    <x v="1"/>
  </r>
  <r>
    <n v="20"/>
    <x v="0"/>
    <s v="Travel_Frequently"/>
    <n v="871"/>
    <x v="1"/>
    <n v="6"/>
    <n v="3"/>
    <s v="Life Sciences"/>
    <n v="1"/>
    <x v="102"/>
    <n v="4"/>
    <s v="Female"/>
    <n v="66"/>
    <n v="2"/>
    <n v="1"/>
    <x v="2"/>
    <x v="0"/>
    <s v="Single"/>
    <n v="2926"/>
    <n v="19783"/>
    <n v="1"/>
    <s v="Y"/>
    <x v="0"/>
    <n v="18"/>
    <n v="3"/>
    <n v="2"/>
    <n v="80"/>
    <n v="0"/>
    <n v="1"/>
    <n v="5"/>
    <x v="1"/>
    <n v="1"/>
    <n v="0"/>
    <n v="1"/>
    <n v="0"/>
    <x v="2"/>
    <x v="1"/>
  </r>
  <r>
    <n v="34"/>
    <x v="1"/>
    <s v="Travel_Rarely"/>
    <n v="665"/>
    <x v="1"/>
    <n v="6"/>
    <n v="4"/>
    <s v="Other"/>
    <n v="1"/>
    <x v="103"/>
    <n v="1"/>
    <s v="Female"/>
    <n v="41"/>
    <n v="3"/>
    <n v="2"/>
    <x v="1"/>
    <x v="2"/>
    <s v="Single"/>
    <n v="4809"/>
    <n v="12482"/>
    <n v="1"/>
    <s v="Y"/>
    <x v="1"/>
    <n v="14"/>
    <n v="3"/>
    <n v="3"/>
    <n v="80"/>
    <n v="0"/>
    <n v="16"/>
    <n v="3"/>
    <x v="1"/>
    <n v="16"/>
    <n v="13"/>
    <n v="2"/>
    <n v="10"/>
    <x v="1"/>
    <x v="0"/>
  </r>
  <r>
    <n v="37"/>
    <x v="1"/>
    <s v="Non-Travel"/>
    <n v="1040"/>
    <x v="1"/>
    <n v="2"/>
    <n v="2"/>
    <s v="Life Sciences"/>
    <n v="1"/>
    <x v="104"/>
    <n v="3"/>
    <s v="Male"/>
    <n v="100"/>
    <n v="2"/>
    <n v="2"/>
    <x v="4"/>
    <x v="0"/>
    <s v="Divorced"/>
    <n v="5163"/>
    <n v="15850"/>
    <n v="5"/>
    <s v="Y"/>
    <x v="1"/>
    <n v="14"/>
    <n v="3"/>
    <n v="4"/>
    <n v="80"/>
    <n v="1"/>
    <n v="17"/>
    <n v="2"/>
    <x v="3"/>
    <n v="1"/>
    <n v="0"/>
    <n v="0"/>
    <n v="0"/>
    <x v="1"/>
    <x v="0"/>
  </r>
  <r>
    <n v="59"/>
    <x v="1"/>
    <s v="Non-Travel"/>
    <n v="1420"/>
    <x v="2"/>
    <n v="2"/>
    <n v="4"/>
    <s v="Human Resources"/>
    <n v="1"/>
    <x v="105"/>
    <n v="3"/>
    <s v="Female"/>
    <n v="32"/>
    <n v="2"/>
    <n v="5"/>
    <x v="5"/>
    <x v="0"/>
    <s v="Married"/>
    <n v="18844"/>
    <n v="21922"/>
    <n v="9"/>
    <s v="Y"/>
    <x v="1"/>
    <n v="21"/>
    <n v="4"/>
    <n v="4"/>
    <n v="80"/>
    <n v="1"/>
    <n v="30"/>
    <n v="3"/>
    <x v="1"/>
    <n v="3"/>
    <n v="2"/>
    <n v="2"/>
    <n v="2"/>
    <x v="3"/>
    <x v="2"/>
  </r>
  <r>
    <n v="50"/>
    <x v="1"/>
    <s v="Travel_Frequently"/>
    <n v="1115"/>
    <x v="1"/>
    <n v="1"/>
    <n v="3"/>
    <s v="Life Sciences"/>
    <n v="1"/>
    <x v="106"/>
    <n v="1"/>
    <s v="Female"/>
    <n v="73"/>
    <n v="3"/>
    <n v="5"/>
    <x v="7"/>
    <x v="1"/>
    <s v="Married"/>
    <n v="18172"/>
    <n v="9755"/>
    <n v="3"/>
    <s v="Y"/>
    <x v="0"/>
    <n v="19"/>
    <n v="3"/>
    <n v="1"/>
    <n v="80"/>
    <n v="0"/>
    <n v="28"/>
    <n v="1"/>
    <x v="2"/>
    <n v="8"/>
    <n v="3"/>
    <n v="0"/>
    <n v="7"/>
    <x v="0"/>
    <x v="2"/>
  </r>
  <r>
    <n v="25"/>
    <x v="0"/>
    <s v="Travel_Rarely"/>
    <n v="240"/>
    <x v="0"/>
    <n v="5"/>
    <n v="3"/>
    <s v="Marketing"/>
    <n v="1"/>
    <x v="107"/>
    <n v="3"/>
    <s v="Male"/>
    <n v="46"/>
    <n v="2"/>
    <n v="2"/>
    <x v="0"/>
    <x v="2"/>
    <s v="Single"/>
    <n v="5744"/>
    <n v="26959"/>
    <n v="1"/>
    <s v="Y"/>
    <x v="0"/>
    <n v="11"/>
    <n v="3"/>
    <n v="4"/>
    <n v="80"/>
    <n v="0"/>
    <n v="6"/>
    <n v="1"/>
    <x v="1"/>
    <n v="6"/>
    <n v="4"/>
    <n v="0"/>
    <n v="3"/>
    <x v="2"/>
    <x v="0"/>
  </r>
  <r>
    <n v="25"/>
    <x v="1"/>
    <s v="Travel_Rarely"/>
    <n v="1280"/>
    <x v="1"/>
    <n v="7"/>
    <n v="1"/>
    <s v="Medical"/>
    <n v="1"/>
    <x v="108"/>
    <n v="4"/>
    <s v="Male"/>
    <n v="64"/>
    <n v="2"/>
    <n v="1"/>
    <x v="1"/>
    <x v="0"/>
    <s v="Married"/>
    <n v="2889"/>
    <n v="26897"/>
    <n v="1"/>
    <s v="Y"/>
    <x v="1"/>
    <n v="11"/>
    <n v="3"/>
    <n v="3"/>
    <n v="80"/>
    <n v="2"/>
    <n v="2"/>
    <n v="2"/>
    <x v="1"/>
    <n v="2"/>
    <n v="2"/>
    <n v="2"/>
    <n v="1"/>
    <x v="2"/>
    <x v="1"/>
  </r>
  <r>
    <n v="22"/>
    <x v="1"/>
    <s v="Travel_Rarely"/>
    <n v="534"/>
    <x v="1"/>
    <n v="15"/>
    <n v="3"/>
    <s v="Medical"/>
    <n v="1"/>
    <x v="109"/>
    <n v="2"/>
    <s v="Female"/>
    <n v="59"/>
    <n v="3"/>
    <n v="1"/>
    <x v="2"/>
    <x v="0"/>
    <s v="Single"/>
    <n v="2871"/>
    <n v="23785"/>
    <n v="1"/>
    <s v="Y"/>
    <x v="1"/>
    <n v="15"/>
    <n v="3"/>
    <n v="3"/>
    <n v="80"/>
    <n v="0"/>
    <n v="1"/>
    <n v="5"/>
    <x v="1"/>
    <n v="0"/>
    <n v="0"/>
    <n v="0"/>
    <n v="0"/>
    <x v="2"/>
    <x v="1"/>
  </r>
  <r>
    <n v="51"/>
    <x v="1"/>
    <s v="Travel_Frequently"/>
    <n v="1456"/>
    <x v="1"/>
    <n v="1"/>
    <n v="4"/>
    <s v="Medical"/>
    <n v="1"/>
    <x v="110"/>
    <n v="1"/>
    <s v="Female"/>
    <n v="30"/>
    <n v="2"/>
    <n v="3"/>
    <x v="4"/>
    <x v="3"/>
    <s v="Single"/>
    <n v="7484"/>
    <n v="25796"/>
    <n v="3"/>
    <s v="Y"/>
    <x v="1"/>
    <n v="20"/>
    <n v="4"/>
    <n v="3"/>
    <n v="80"/>
    <n v="0"/>
    <n v="23"/>
    <n v="1"/>
    <x v="2"/>
    <n v="13"/>
    <n v="12"/>
    <n v="12"/>
    <n v="8"/>
    <x v="3"/>
    <x v="2"/>
  </r>
  <r>
    <n v="34"/>
    <x v="0"/>
    <s v="Travel_Frequently"/>
    <n v="658"/>
    <x v="1"/>
    <n v="7"/>
    <n v="3"/>
    <s v="Life Sciences"/>
    <n v="1"/>
    <x v="111"/>
    <n v="1"/>
    <s v="Male"/>
    <n v="66"/>
    <n v="1"/>
    <n v="2"/>
    <x v="2"/>
    <x v="2"/>
    <s v="Single"/>
    <n v="6074"/>
    <n v="22887"/>
    <n v="1"/>
    <s v="Y"/>
    <x v="0"/>
    <n v="24"/>
    <n v="4"/>
    <n v="4"/>
    <n v="80"/>
    <n v="0"/>
    <n v="9"/>
    <n v="3"/>
    <x v="1"/>
    <n v="9"/>
    <n v="7"/>
    <n v="0"/>
    <n v="6"/>
    <x v="1"/>
    <x v="0"/>
  </r>
  <r>
    <n v="54"/>
    <x v="1"/>
    <s v="Non-Travel"/>
    <n v="142"/>
    <x v="2"/>
    <n v="26"/>
    <n v="3"/>
    <s v="Human Resources"/>
    <n v="1"/>
    <x v="112"/>
    <n v="4"/>
    <s v="Female"/>
    <n v="30"/>
    <n v="4"/>
    <n v="4"/>
    <x v="5"/>
    <x v="0"/>
    <s v="Single"/>
    <n v="17328"/>
    <n v="13871"/>
    <n v="2"/>
    <s v="Y"/>
    <x v="0"/>
    <n v="12"/>
    <n v="3"/>
    <n v="3"/>
    <n v="80"/>
    <n v="0"/>
    <n v="23"/>
    <n v="3"/>
    <x v="1"/>
    <n v="5"/>
    <n v="3"/>
    <n v="4"/>
    <n v="4"/>
    <x v="3"/>
    <x v="2"/>
  </r>
  <r>
    <n v="24"/>
    <x v="1"/>
    <s v="Travel_Rarely"/>
    <n v="1127"/>
    <x v="1"/>
    <n v="18"/>
    <n v="1"/>
    <s v="Life Sciences"/>
    <n v="1"/>
    <x v="113"/>
    <n v="2"/>
    <s v="Male"/>
    <n v="52"/>
    <n v="3"/>
    <n v="1"/>
    <x v="2"/>
    <x v="2"/>
    <s v="Married"/>
    <n v="2774"/>
    <n v="13257"/>
    <n v="0"/>
    <s v="Y"/>
    <x v="1"/>
    <n v="12"/>
    <n v="3"/>
    <n v="3"/>
    <n v="80"/>
    <n v="1"/>
    <n v="6"/>
    <n v="2"/>
    <x v="1"/>
    <n v="5"/>
    <n v="3"/>
    <n v="1"/>
    <n v="2"/>
    <x v="2"/>
    <x v="1"/>
  </r>
  <r>
    <n v="34"/>
    <x v="1"/>
    <s v="Travel_Rarely"/>
    <n v="1031"/>
    <x v="1"/>
    <n v="6"/>
    <n v="4"/>
    <s v="Life Sciences"/>
    <n v="1"/>
    <x v="114"/>
    <n v="3"/>
    <s v="Female"/>
    <n v="45"/>
    <n v="2"/>
    <n v="2"/>
    <x v="1"/>
    <x v="1"/>
    <s v="Divorced"/>
    <n v="4505"/>
    <n v="15000"/>
    <n v="6"/>
    <s v="Y"/>
    <x v="1"/>
    <n v="15"/>
    <n v="3"/>
    <n v="3"/>
    <n v="80"/>
    <n v="1"/>
    <n v="12"/>
    <n v="3"/>
    <x v="1"/>
    <n v="1"/>
    <n v="0"/>
    <n v="0"/>
    <n v="0"/>
    <x v="1"/>
    <x v="0"/>
  </r>
  <r>
    <n v="37"/>
    <x v="1"/>
    <s v="Travel_Rarely"/>
    <n v="1189"/>
    <x v="0"/>
    <n v="3"/>
    <n v="3"/>
    <s v="Life Sciences"/>
    <n v="1"/>
    <x v="115"/>
    <n v="3"/>
    <s v="Male"/>
    <n v="87"/>
    <n v="3"/>
    <n v="3"/>
    <x v="0"/>
    <x v="0"/>
    <s v="Single"/>
    <n v="7428"/>
    <n v="14506"/>
    <n v="2"/>
    <s v="Y"/>
    <x v="1"/>
    <n v="12"/>
    <n v="3"/>
    <n v="1"/>
    <n v="80"/>
    <n v="0"/>
    <n v="12"/>
    <n v="3"/>
    <x v="1"/>
    <n v="5"/>
    <n v="3"/>
    <n v="1"/>
    <n v="3"/>
    <x v="1"/>
    <x v="2"/>
  </r>
  <r>
    <n v="34"/>
    <x v="1"/>
    <s v="Travel_Rarely"/>
    <n v="1354"/>
    <x v="1"/>
    <n v="5"/>
    <n v="3"/>
    <s v="Medical"/>
    <n v="1"/>
    <x v="116"/>
    <n v="3"/>
    <s v="Female"/>
    <n v="45"/>
    <n v="2"/>
    <n v="3"/>
    <x v="5"/>
    <x v="3"/>
    <s v="Single"/>
    <n v="11631"/>
    <n v="5615"/>
    <n v="2"/>
    <s v="Y"/>
    <x v="1"/>
    <n v="12"/>
    <n v="3"/>
    <n v="4"/>
    <n v="80"/>
    <n v="0"/>
    <n v="14"/>
    <n v="6"/>
    <x v="1"/>
    <n v="11"/>
    <n v="10"/>
    <n v="5"/>
    <n v="8"/>
    <x v="1"/>
    <x v="2"/>
  </r>
  <r>
    <n v="36"/>
    <x v="1"/>
    <s v="Travel_Frequently"/>
    <n v="1467"/>
    <x v="0"/>
    <n v="11"/>
    <n v="2"/>
    <s v="Technical Degree"/>
    <n v="1"/>
    <x v="117"/>
    <n v="2"/>
    <s v="Female"/>
    <n v="92"/>
    <n v="3"/>
    <n v="3"/>
    <x v="0"/>
    <x v="0"/>
    <s v="Married"/>
    <n v="9738"/>
    <n v="22952"/>
    <n v="0"/>
    <s v="Y"/>
    <x v="1"/>
    <n v="14"/>
    <n v="3"/>
    <n v="3"/>
    <n v="80"/>
    <n v="1"/>
    <n v="10"/>
    <n v="6"/>
    <x v="1"/>
    <n v="9"/>
    <n v="7"/>
    <n v="2"/>
    <n v="8"/>
    <x v="1"/>
    <x v="2"/>
  </r>
  <r>
    <n v="36"/>
    <x v="1"/>
    <s v="Travel_Rarely"/>
    <n v="922"/>
    <x v="1"/>
    <n v="3"/>
    <n v="2"/>
    <s v="Life Sciences"/>
    <n v="1"/>
    <x v="118"/>
    <n v="1"/>
    <s v="Female"/>
    <n v="39"/>
    <n v="3"/>
    <n v="1"/>
    <x v="2"/>
    <x v="0"/>
    <s v="Divorced"/>
    <n v="2835"/>
    <n v="2561"/>
    <n v="5"/>
    <s v="Y"/>
    <x v="1"/>
    <n v="22"/>
    <n v="4"/>
    <n v="1"/>
    <n v="80"/>
    <n v="1"/>
    <n v="7"/>
    <n v="2"/>
    <x v="1"/>
    <n v="1"/>
    <n v="0"/>
    <n v="0"/>
    <n v="0"/>
    <x v="1"/>
    <x v="1"/>
  </r>
  <r>
    <n v="43"/>
    <x v="1"/>
    <s v="Travel_Frequently"/>
    <n v="394"/>
    <x v="0"/>
    <n v="26"/>
    <n v="2"/>
    <s v="Life Sciences"/>
    <n v="1"/>
    <x v="119"/>
    <n v="3"/>
    <s v="Male"/>
    <n v="92"/>
    <n v="3"/>
    <n v="4"/>
    <x v="5"/>
    <x v="0"/>
    <s v="Married"/>
    <n v="16959"/>
    <n v="19494"/>
    <n v="1"/>
    <s v="Y"/>
    <x v="0"/>
    <n v="12"/>
    <n v="3"/>
    <n v="4"/>
    <n v="80"/>
    <n v="2"/>
    <n v="25"/>
    <n v="3"/>
    <x v="3"/>
    <n v="25"/>
    <n v="12"/>
    <n v="4"/>
    <n v="12"/>
    <x v="0"/>
    <x v="2"/>
  </r>
  <r>
    <n v="30"/>
    <x v="1"/>
    <s v="Travel_Frequently"/>
    <n v="1312"/>
    <x v="1"/>
    <n v="23"/>
    <n v="3"/>
    <s v="Life Sciences"/>
    <n v="1"/>
    <x v="120"/>
    <n v="1"/>
    <s v="Male"/>
    <n v="96"/>
    <n v="1"/>
    <n v="1"/>
    <x v="1"/>
    <x v="2"/>
    <s v="Divorced"/>
    <n v="2613"/>
    <n v="22310"/>
    <n v="1"/>
    <s v="Y"/>
    <x v="1"/>
    <n v="25"/>
    <n v="4"/>
    <n v="3"/>
    <n v="80"/>
    <n v="3"/>
    <n v="10"/>
    <n v="2"/>
    <x v="2"/>
    <n v="10"/>
    <n v="7"/>
    <n v="0"/>
    <n v="9"/>
    <x v="1"/>
    <x v="1"/>
  </r>
  <r>
    <n v="33"/>
    <x v="1"/>
    <s v="Non-Travel"/>
    <n v="750"/>
    <x v="0"/>
    <n v="22"/>
    <n v="2"/>
    <s v="Marketing"/>
    <n v="1"/>
    <x v="121"/>
    <n v="3"/>
    <s v="Male"/>
    <n v="95"/>
    <n v="3"/>
    <n v="2"/>
    <x v="0"/>
    <x v="1"/>
    <s v="Married"/>
    <n v="6146"/>
    <n v="15480"/>
    <n v="0"/>
    <s v="Y"/>
    <x v="1"/>
    <n v="13"/>
    <n v="3"/>
    <n v="1"/>
    <n v="80"/>
    <n v="1"/>
    <n v="8"/>
    <n v="2"/>
    <x v="3"/>
    <n v="7"/>
    <n v="7"/>
    <n v="0"/>
    <n v="7"/>
    <x v="1"/>
    <x v="0"/>
  </r>
  <r>
    <n v="56"/>
    <x v="0"/>
    <s v="Travel_Rarely"/>
    <n v="441"/>
    <x v="1"/>
    <n v="14"/>
    <n v="4"/>
    <s v="Life Sciences"/>
    <n v="1"/>
    <x v="122"/>
    <n v="2"/>
    <s v="Female"/>
    <n v="72"/>
    <n v="3"/>
    <n v="1"/>
    <x v="1"/>
    <x v="1"/>
    <s v="Married"/>
    <n v="4963"/>
    <n v="4510"/>
    <n v="9"/>
    <s v="Y"/>
    <x v="0"/>
    <n v="18"/>
    <n v="3"/>
    <n v="1"/>
    <n v="80"/>
    <n v="3"/>
    <n v="7"/>
    <n v="2"/>
    <x v="1"/>
    <n v="5"/>
    <n v="4"/>
    <n v="4"/>
    <n v="3"/>
    <x v="3"/>
    <x v="0"/>
  </r>
  <r>
    <n v="51"/>
    <x v="1"/>
    <s v="Travel_Rarely"/>
    <n v="684"/>
    <x v="1"/>
    <n v="6"/>
    <n v="3"/>
    <s v="Life Sciences"/>
    <n v="1"/>
    <x v="123"/>
    <n v="1"/>
    <s v="Male"/>
    <n v="51"/>
    <n v="3"/>
    <n v="5"/>
    <x v="7"/>
    <x v="2"/>
    <s v="Single"/>
    <n v="19537"/>
    <n v="6462"/>
    <n v="7"/>
    <s v="Y"/>
    <x v="1"/>
    <n v="13"/>
    <n v="3"/>
    <n v="3"/>
    <n v="80"/>
    <n v="0"/>
    <n v="23"/>
    <n v="5"/>
    <x v="1"/>
    <n v="20"/>
    <n v="18"/>
    <n v="15"/>
    <n v="15"/>
    <x v="3"/>
    <x v="2"/>
  </r>
  <r>
    <n v="31"/>
    <x v="0"/>
    <s v="Travel_Rarely"/>
    <n v="249"/>
    <x v="0"/>
    <n v="6"/>
    <n v="4"/>
    <s v="Life Sciences"/>
    <n v="1"/>
    <x v="124"/>
    <n v="2"/>
    <s v="Male"/>
    <n v="76"/>
    <n v="1"/>
    <n v="2"/>
    <x v="0"/>
    <x v="2"/>
    <s v="Married"/>
    <n v="6172"/>
    <n v="20739"/>
    <n v="4"/>
    <s v="Y"/>
    <x v="0"/>
    <n v="18"/>
    <n v="3"/>
    <n v="2"/>
    <n v="80"/>
    <n v="0"/>
    <n v="12"/>
    <n v="3"/>
    <x v="2"/>
    <n v="7"/>
    <n v="7"/>
    <n v="7"/>
    <n v="7"/>
    <x v="1"/>
    <x v="0"/>
  </r>
  <r>
    <n v="26"/>
    <x v="1"/>
    <s v="Travel_Rarely"/>
    <n v="841"/>
    <x v="1"/>
    <n v="6"/>
    <n v="3"/>
    <s v="Other"/>
    <n v="1"/>
    <x v="125"/>
    <n v="3"/>
    <s v="Female"/>
    <n v="46"/>
    <n v="2"/>
    <n v="1"/>
    <x v="1"/>
    <x v="1"/>
    <s v="Married"/>
    <n v="2368"/>
    <n v="23300"/>
    <n v="1"/>
    <s v="Y"/>
    <x v="1"/>
    <n v="19"/>
    <n v="3"/>
    <n v="3"/>
    <n v="80"/>
    <n v="0"/>
    <n v="5"/>
    <n v="3"/>
    <x v="2"/>
    <n v="5"/>
    <n v="4"/>
    <n v="4"/>
    <n v="3"/>
    <x v="2"/>
    <x v="1"/>
  </r>
  <r>
    <n v="58"/>
    <x v="0"/>
    <s v="Travel_Rarely"/>
    <n v="147"/>
    <x v="1"/>
    <n v="23"/>
    <n v="4"/>
    <s v="Medical"/>
    <n v="1"/>
    <x v="126"/>
    <n v="4"/>
    <s v="Female"/>
    <n v="94"/>
    <n v="3"/>
    <n v="3"/>
    <x v="4"/>
    <x v="0"/>
    <s v="Married"/>
    <n v="10312"/>
    <n v="3465"/>
    <n v="1"/>
    <s v="Y"/>
    <x v="1"/>
    <n v="12"/>
    <n v="3"/>
    <n v="4"/>
    <n v="80"/>
    <n v="1"/>
    <n v="40"/>
    <n v="3"/>
    <x v="2"/>
    <n v="40"/>
    <n v="10"/>
    <n v="15"/>
    <n v="6"/>
    <x v="3"/>
    <x v="2"/>
  </r>
  <r>
    <n v="19"/>
    <x v="0"/>
    <s v="Travel_Rarely"/>
    <n v="528"/>
    <x v="0"/>
    <n v="22"/>
    <n v="1"/>
    <s v="Marketing"/>
    <n v="1"/>
    <x v="127"/>
    <n v="4"/>
    <s v="Male"/>
    <n v="50"/>
    <n v="3"/>
    <n v="1"/>
    <x v="6"/>
    <x v="2"/>
    <s v="Single"/>
    <n v="1675"/>
    <n v="26820"/>
    <n v="1"/>
    <s v="Y"/>
    <x v="0"/>
    <n v="19"/>
    <n v="3"/>
    <n v="4"/>
    <n v="80"/>
    <n v="0"/>
    <n v="0"/>
    <n v="2"/>
    <x v="2"/>
    <n v="0"/>
    <n v="0"/>
    <n v="0"/>
    <n v="0"/>
    <x v="2"/>
    <x v="1"/>
  </r>
  <r>
    <n v="22"/>
    <x v="1"/>
    <s v="Travel_Rarely"/>
    <n v="594"/>
    <x v="1"/>
    <n v="2"/>
    <n v="1"/>
    <s v="Technical Degree"/>
    <n v="1"/>
    <x v="128"/>
    <n v="3"/>
    <s v="Male"/>
    <n v="100"/>
    <n v="3"/>
    <n v="1"/>
    <x v="2"/>
    <x v="0"/>
    <s v="Married"/>
    <n v="2523"/>
    <n v="19299"/>
    <n v="0"/>
    <s v="Y"/>
    <x v="1"/>
    <n v="14"/>
    <n v="3"/>
    <n v="3"/>
    <n v="80"/>
    <n v="1"/>
    <n v="3"/>
    <n v="2"/>
    <x v="1"/>
    <n v="2"/>
    <n v="1"/>
    <n v="2"/>
    <n v="1"/>
    <x v="2"/>
    <x v="1"/>
  </r>
  <r>
    <n v="49"/>
    <x v="1"/>
    <s v="Travel_Rarely"/>
    <n v="470"/>
    <x v="1"/>
    <n v="20"/>
    <n v="4"/>
    <s v="Medical"/>
    <n v="1"/>
    <x v="129"/>
    <n v="3"/>
    <s v="Female"/>
    <n v="96"/>
    <n v="3"/>
    <n v="2"/>
    <x v="3"/>
    <x v="3"/>
    <s v="Married"/>
    <n v="6567"/>
    <n v="5549"/>
    <n v="1"/>
    <s v="Y"/>
    <x v="1"/>
    <n v="14"/>
    <n v="3"/>
    <n v="3"/>
    <n v="80"/>
    <n v="0"/>
    <n v="16"/>
    <n v="2"/>
    <x v="2"/>
    <n v="15"/>
    <n v="11"/>
    <n v="5"/>
    <n v="11"/>
    <x v="0"/>
    <x v="0"/>
  </r>
  <r>
    <n v="43"/>
    <x v="1"/>
    <s v="Travel_Frequently"/>
    <n v="957"/>
    <x v="1"/>
    <n v="28"/>
    <n v="3"/>
    <s v="Medical"/>
    <n v="1"/>
    <x v="130"/>
    <n v="2"/>
    <s v="Female"/>
    <n v="72"/>
    <n v="4"/>
    <n v="1"/>
    <x v="1"/>
    <x v="2"/>
    <s v="Single"/>
    <n v="4739"/>
    <n v="16090"/>
    <n v="4"/>
    <s v="Y"/>
    <x v="1"/>
    <n v="12"/>
    <n v="3"/>
    <n v="4"/>
    <n v="80"/>
    <n v="0"/>
    <n v="18"/>
    <n v="2"/>
    <x v="1"/>
    <n v="3"/>
    <n v="2"/>
    <n v="1"/>
    <n v="2"/>
    <x v="0"/>
    <x v="0"/>
  </r>
  <r>
    <n v="50"/>
    <x v="1"/>
    <s v="Travel_Frequently"/>
    <n v="809"/>
    <x v="0"/>
    <n v="12"/>
    <n v="3"/>
    <s v="Marketing"/>
    <n v="1"/>
    <x v="131"/>
    <n v="3"/>
    <s v="Female"/>
    <n v="77"/>
    <n v="3"/>
    <n v="3"/>
    <x v="0"/>
    <x v="0"/>
    <s v="Single"/>
    <n v="9208"/>
    <n v="6645"/>
    <n v="4"/>
    <s v="Y"/>
    <x v="1"/>
    <n v="11"/>
    <n v="3"/>
    <n v="4"/>
    <n v="80"/>
    <n v="0"/>
    <n v="16"/>
    <n v="3"/>
    <x v="1"/>
    <n v="2"/>
    <n v="2"/>
    <n v="2"/>
    <n v="1"/>
    <x v="0"/>
    <x v="2"/>
  </r>
  <r>
    <n v="31"/>
    <x v="0"/>
    <s v="Travel_Rarely"/>
    <n v="542"/>
    <x v="0"/>
    <n v="20"/>
    <n v="3"/>
    <s v="Life Sciences"/>
    <n v="1"/>
    <x v="132"/>
    <n v="2"/>
    <s v="Female"/>
    <n v="71"/>
    <n v="1"/>
    <n v="2"/>
    <x v="0"/>
    <x v="2"/>
    <s v="Married"/>
    <n v="4559"/>
    <n v="24788"/>
    <n v="3"/>
    <s v="Y"/>
    <x v="0"/>
    <n v="11"/>
    <n v="3"/>
    <n v="3"/>
    <n v="80"/>
    <n v="1"/>
    <n v="4"/>
    <n v="2"/>
    <x v="1"/>
    <n v="2"/>
    <n v="2"/>
    <n v="2"/>
    <n v="2"/>
    <x v="1"/>
    <x v="0"/>
  </r>
  <r>
    <n v="41"/>
    <x v="1"/>
    <s v="Travel_Rarely"/>
    <n v="802"/>
    <x v="0"/>
    <n v="9"/>
    <n v="1"/>
    <s v="Life Sciences"/>
    <n v="1"/>
    <x v="133"/>
    <n v="3"/>
    <s v="Male"/>
    <n v="96"/>
    <n v="3"/>
    <n v="3"/>
    <x v="0"/>
    <x v="2"/>
    <s v="Divorced"/>
    <n v="8189"/>
    <n v="21196"/>
    <n v="3"/>
    <s v="Y"/>
    <x v="0"/>
    <n v="13"/>
    <n v="3"/>
    <n v="3"/>
    <n v="80"/>
    <n v="1"/>
    <n v="12"/>
    <n v="2"/>
    <x v="1"/>
    <n v="9"/>
    <n v="7"/>
    <n v="0"/>
    <n v="7"/>
    <x v="0"/>
    <x v="2"/>
  </r>
  <r>
    <n v="26"/>
    <x v="1"/>
    <s v="Travel_Rarely"/>
    <n v="1355"/>
    <x v="2"/>
    <n v="25"/>
    <n v="1"/>
    <s v="Life Sciences"/>
    <n v="1"/>
    <x v="134"/>
    <n v="3"/>
    <s v="Female"/>
    <n v="61"/>
    <n v="3"/>
    <n v="1"/>
    <x v="8"/>
    <x v="2"/>
    <s v="Married"/>
    <n v="2942"/>
    <n v="8916"/>
    <n v="1"/>
    <s v="Y"/>
    <x v="1"/>
    <n v="23"/>
    <n v="4"/>
    <n v="4"/>
    <n v="80"/>
    <n v="1"/>
    <n v="8"/>
    <n v="3"/>
    <x v="1"/>
    <n v="8"/>
    <n v="7"/>
    <n v="5"/>
    <n v="7"/>
    <x v="2"/>
    <x v="1"/>
  </r>
  <r>
    <n v="36"/>
    <x v="1"/>
    <s v="Travel_Rarely"/>
    <n v="216"/>
    <x v="1"/>
    <n v="6"/>
    <n v="2"/>
    <s v="Medical"/>
    <n v="1"/>
    <x v="135"/>
    <n v="2"/>
    <s v="Male"/>
    <n v="84"/>
    <n v="3"/>
    <n v="2"/>
    <x v="3"/>
    <x v="1"/>
    <s v="Divorced"/>
    <n v="4941"/>
    <n v="2819"/>
    <n v="6"/>
    <s v="Y"/>
    <x v="1"/>
    <n v="20"/>
    <n v="4"/>
    <n v="4"/>
    <n v="80"/>
    <n v="2"/>
    <n v="7"/>
    <n v="0"/>
    <x v="1"/>
    <n v="3"/>
    <n v="2"/>
    <n v="0"/>
    <n v="1"/>
    <x v="1"/>
    <x v="0"/>
  </r>
  <r>
    <n v="51"/>
    <x v="0"/>
    <s v="Travel_Frequently"/>
    <n v="1150"/>
    <x v="1"/>
    <n v="8"/>
    <n v="4"/>
    <s v="Life Sciences"/>
    <n v="1"/>
    <x v="136"/>
    <n v="1"/>
    <s v="Male"/>
    <n v="53"/>
    <n v="1"/>
    <n v="3"/>
    <x v="3"/>
    <x v="0"/>
    <s v="Single"/>
    <n v="10650"/>
    <n v="25150"/>
    <n v="2"/>
    <s v="Y"/>
    <x v="1"/>
    <n v="15"/>
    <n v="3"/>
    <n v="4"/>
    <n v="80"/>
    <n v="0"/>
    <n v="18"/>
    <n v="2"/>
    <x v="1"/>
    <n v="4"/>
    <n v="2"/>
    <n v="0"/>
    <n v="3"/>
    <x v="3"/>
    <x v="2"/>
  </r>
  <r>
    <n v="39"/>
    <x v="1"/>
    <s v="Travel_Rarely"/>
    <n v="1329"/>
    <x v="0"/>
    <n v="4"/>
    <n v="4"/>
    <s v="Life Sciences"/>
    <n v="1"/>
    <x v="137"/>
    <n v="4"/>
    <s v="Female"/>
    <n v="47"/>
    <n v="2"/>
    <n v="2"/>
    <x v="0"/>
    <x v="2"/>
    <s v="Married"/>
    <n v="5902"/>
    <n v="14590"/>
    <n v="4"/>
    <s v="Y"/>
    <x v="1"/>
    <n v="14"/>
    <n v="3"/>
    <n v="3"/>
    <n v="80"/>
    <n v="1"/>
    <n v="17"/>
    <n v="1"/>
    <x v="3"/>
    <n v="15"/>
    <n v="11"/>
    <n v="5"/>
    <n v="9"/>
    <x v="1"/>
    <x v="0"/>
  </r>
  <r>
    <n v="25"/>
    <x v="1"/>
    <s v="Travel_Rarely"/>
    <n v="959"/>
    <x v="0"/>
    <n v="28"/>
    <n v="3"/>
    <s v="Life Sciences"/>
    <n v="1"/>
    <x v="138"/>
    <n v="1"/>
    <s v="Male"/>
    <n v="41"/>
    <n v="2"/>
    <n v="2"/>
    <x v="0"/>
    <x v="2"/>
    <s v="Married"/>
    <n v="8639"/>
    <n v="24835"/>
    <n v="2"/>
    <s v="Y"/>
    <x v="1"/>
    <n v="18"/>
    <n v="3"/>
    <n v="4"/>
    <n v="80"/>
    <n v="0"/>
    <n v="6"/>
    <n v="3"/>
    <x v="1"/>
    <n v="2"/>
    <n v="2"/>
    <n v="2"/>
    <n v="2"/>
    <x v="2"/>
    <x v="2"/>
  </r>
  <r>
    <n v="30"/>
    <x v="1"/>
    <s v="Travel_Rarely"/>
    <n v="1240"/>
    <x v="2"/>
    <n v="9"/>
    <n v="3"/>
    <s v="Human Resources"/>
    <n v="1"/>
    <x v="139"/>
    <n v="3"/>
    <s v="Male"/>
    <n v="48"/>
    <n v="3"/>
    <n v="2"/>
    <x v="8"/>
    <x v="0"/>
    <s v="Married"/>
    <n v="6347"/>
    <n v="13982"/>
    <n v="0"/>
    <s v="Y"/>
    <x v="0"/>
    <n v="19"/>
    <n v="3"/>
    <n v="4"/>
    <n v="80"/>
    <n v="0"/>
    <n v="12"/>
    <n v="2"/>
    <x v="0"/>
    <n v="11"/>
    <n v="9"/>
    <n v="4"/>
    <n v="7"/>
    <x v="1"/>
    <x v="0"/>
  </r>
  <r>
    <n v="32"/>
    <x v="0"/>
    <s v="Travel_Rarely"/>
    <n v="1033"/>
    <x v="1"/>
    <n v="9"/>
    <n v="3"/>
    <s v="Medical"/>
    <n v="1"/>
    <x v="140"/>
    <n v="1"/>
    <s v="Female"/>
    <n v="41"/>
    <n v="3"/>
    <n v="1"/>
    <x v="2"/>
    <x v="3"/>
    <s v="Single"/>
    <n v="4200"/>
    <n v="10224"/>
    <n v="7"/>
    <s v="Y"/>
    <x v="1"/>
    <n v="22"/>
    <n v="4"/>
    <n v="1"/>
    <n v="80"/>
    <n v="0"/>
    <n v="10"/>
    <n v="2"/>
    <x v="3"/>
    <n v="5"/>
    <n v="4"/>
    <n v="0"/>
    <n v="4"/>
    <x v="1"/>
    <x v="0"/>
  </r>
  <r>
    <n v="45"/>
    <x v="1"/>
    <s v="Travel_Rarely"/>
    <n v="1316"/>
    <x v="1"/>
    <n v="29"/>
    <n v="3"/>
    <s v="Medical"/>
    <n v="1"/>
    <x v="141"/>
    <n v="3"/>
    <s v="Male"/>
    <n v="83"/>
    <n v="3"/>
    <n v="1"/>
    <x v="1"/>
    <x v="0"/>
    <s v="Single"/>
    <n v="3452"/>
    <n v="9752"/>
    <n v="5"/>
    <s v="Y"/>
    <x v="1"/>
    <n v="13"/>
    <n v="3"/>
    <n v="2"/>
    <n v="80"/>
    <n v="0"/>
    <n v="9"/>
    <n v="2"/>
    <x v="2"/>
    <n v="6"/>
    <n v="5"/>
    <n v="0"/>
    <n v="3"/>
    <x v="0"/>
    <x v="1"/>
  </r>
  <r>
    <n v="38"/>
    <x v="1"/>
    <s v="Travel_Rarely"/>
    <n v="364"/>
    <x v="1"/>
    <n v="3"/>
    <n v="5"/>
    <s v="Technical Degree"/>
    <n v="1"/>
    <x v="142"/>
    <n v="4"/>
    <s v="Female"/>
    <n v="32"/>
    <n v="3"/>
    <n v="2"/>
    <x v="1"/>
    <x v="2"/>
    <s v="Single"/>
    <n v="4317"/>
    <n v="2302"/>
    <n v="3"/>
    <s v="Y"/>
    <x v="0"/>
    <n v="20"/>
    <n v="4"/>
    <n v="2"/>
    <n v="80"/>
    <n v="0"/>
    <n v="19"/>
    <n v="2"/>
    <x v="1"/>
    <n v="3"/>
    <n v="2"/>
    <n v="2"/>
    <n v="2"/>
    <x v="1"/>
    <x v="0"/>
  </r>
  <r>
    <n v="30"/>
    <x v="1"/>
    <s v="Travel_Rarely"/>
    <n v="438"/>
    <x v="1"/>
    <n v="18"/>
    <n v="3"/>
    <s v="Life Sciences"/>
    <n v="1"/>
    <x v="143"/>
    <n v="1"/>
    <s v="Female"/>
    <n v="75"/>
    <n v="3"/>
    <n v="1"/>
    <x v="1"/>
    <x v="2"/>
    <s v="Single"/>
    <n v="2632"/>
    <n v="23910"/>
    <n v="1"/>
    <s v="Y"/>
    <x v="1"/>
    <n v="14"/>
    <n v="3"/>
    <n v="3"/>
    <n v="80"/>
    <n v="0"/>
    <n v="5"/>
    <n v="4"/>
    <x v="2"/>
    <n v="5"/>
    <n v="4"/>
    <n v="0"/>
    <n v="4"/>
    <x v="1"/>
    <x v="1"/>
  </r>
  <r>
    <n v="32"/>
    <x v="1"/>
    <s v="Travel_Frequently"/>
    <n v="689"/>
    <x v="0"/>
    <n v="9"/>
    <n v="2"/>
    <s v="Medical"/>
    <n v="1"/>
    <x v="144"/>
    <n v="4"/>
    <s v="Male"/>
    <n v="35"/>
    <n v="1"/>
    <n v="2"/>
    <x v="0"/>
    <x v="0"/>
    <s v="Divorced"/>
    <n v="4668"/>
    <n v="22812"/>
    <n v="0"/>
    <s v="Y"/>
    <x v="1"/>
    <n v="17"/>
    <n v="3"/>
    <n v="4"/>
    <n v="80"/>
    <n v="3"/>
    <n v="9"/>
    <n v="2"/>
    <x v="3"/>
    <n v="8"/>
    <n v="7"/>
    <n v="0"/>
    <n v="7"/>
    <x v="1"/>
    <x v="0"/>
  </r>
  <r>
    <n v="30"/>
    <x v="1"/>
    <s v="Travel_Rarely"/>
    <n v="201"/>
    <x v="1"/>
    <n v="5"/>
    <n v="3"/>
    <s v="Technical Degree"/>
    <n v="1"/>
    <x v="145"/>
    <n v="4"/>
    <s v="Female"/>
    <n v="84"/>
    <n v="3"/>
    <n v="1"/>
    <x v="1"/>
    <x v="3"/>
    <s v="Divorced"/>
    <n v="3204"/>
    <n v="10415"/>
    <n v="5"/>
    <s v="Y"/>
    <x v="1"/>
    <n v="14"/>
    <n v="3"/>
    <n v="4"/>
    <n v="80"/>
    <n v="1"/>
    <n v="8"/>
    <n v="3"/>
    <x v="1"/>
    <n v="3"/>
    <n v="2"/>
    <n v="2"/>
    <n v="2"/>
    <x v="1"/>
    <x v="1"/>
  </r>
  <r>
    <n v="30"/>
    <x v="1"/>
    <s v="Travel_Rarely"/>
    <n v="1427"/>
    <x v="1"/>
    <n v="2"/>
    <n v="1"/>
    <s v="Medical"/>
    <n v="1"/>
    <x v="146"/>
    <n v="2"/>
    <s v="Male"/>
    <n v="35"/>
    <n v="2"/>
    <n v="1"/>
    <x v="2"/>
    <x v="0"/>
    <s v="Single"/>
    <n v="2720"/>
    <n v="11162"/>
    <n v="0"/>
    <s v="Y"/>
    <x v="1"/>
    <n v="13"/>
    <n v="3"/>
    <n v="4"/>
    <n v="80"/>
    <n v="0"/>
    <n v="6"/>
    <n v="3"/>
    <x v="1"/>
    <n v="5"/>
    <n v="3"/>
    <n v="1"/>
    <n v="2"/>
    <x v="1"/>
    <x v="1"/>
  </r>
  <r>
    <n v="41"/>
    <x v="1"/>
    <s v="Travel_Frequently"/>
    <n v="857"/>
    <x v="1"/>
    <n v="10"/>
    <n v="3"/>
    <s v="Life Sciences"/>
    <n v="1"/>
    <x v="147"/>
    <n v="4"/>
    <s v="Male"/>
    <n v="91"/>
    <n v="2"/>
    <n v="4"/>
    <x v="5"/>
    <x v="3"/>
    <s v="Divorced"/>
    <n v="17181"/>
    <n v="12888"/>
    <n v="4"/>
    <s v="Y"/>
    <x v="1"/>
    <n v="13"/>
    <n v="3"/>
    <n v="2"/>
    <n v="80"/>
    <n v="1"/>
    <n v="21"/>
    <n v="2"/>
    <x v="2"/>
    <n v="7"/>
    <n v="6"/>
    <n v="7"/>
    <n v="7"/>
    <x v="0"/>
    <x v="2"/>
  </r>
  <r>
    <n v="41"/>
    <x v="1"/>
    <s v="Travel_Rarely"/>
    <n v="933"/>
    <x v="1"/>
    <n v="9"/>
    <n v="4"/>
    <s v="Life Sciences"/>
    <n v="1"/>
    <x v="148"/>
    <n v="3"/>
    <s v="Male"/>
    <n v="94"/>
    <n v="3"/>
    <n v="1"/>
    <x v="2"/>
    <x v="3"/>
    <s v="Married"/>
    <n v="2238"/>
    <n v="6961"/>
    <n v="2"/>
    <s v="Y"/>
    <x v="1"/>
    <n v="21"/>
    <n v="4"/>
    <n v="4"/>
    <n v="80"/>
    <n v="1"/>
    <n v="7"/>
    <n v="2"/>
    <x v="1"/>
    <n v="5"/>
    <n v="0"/>
    <n v="1"/>
    <n v="4"/>
    <x v="0"/>
    <x v="1"/>
  </r>
  <r>
    <n v="19"/>
    <x v="1"/>
    <s v="Travel_Rarely"/>
    <n v="1181"/>
    <x v="1"/>
    <n v="3"/>
    <n v="1"/>
    <s v="Medical"/>
    <n v="1"/>
    <x v="149"/>
    <n v="2"/>
    <s v="Female"/>
    <n v="79"/>
    <n v="3"/>
    <n v="1"/>
    <x v="2"/>
    <x v="1"/>
    <s v="Single"/>
    <n v="1483"/>
    <n v="16102"/>
    <n v="1"/>
    <s v="Y"/>
    <x v="1"/>
    <n v="14"/>
    <n v="3"/>
    <n v="4"/>
    <n v="80"/>
    <n v="0"/>
    <n v="1"/>
    <n v="3"/>
    <x v="1"/>
    <n v="1"/>
    <n v="0"/>
    <n v="0"/>
    <n v="0"/>
    <x v="2"/>
    <x v="1"/>
  </r>
  <r>
    <n v="40"/>
    <x v="1"/>
    <s v="Travel_Frequently"/>
    <n v="1395"/>
    <x v="1"/>
    <n v="26"/>
    <n v="3"/>
    <s v="Medical"/>
    <n v="1"/>
    <x v="150"/>
    <n v="2"/>
    <s v="Female"/>
    <n v="54"/>
    <n v="3"/>
    <n v="2"/>
    <x v="1"/>
    <x v="1"/>
    <s v="Divorced"/>
    <n v="5605"/>
    <n v="8504"/>
    <n v="1"/>
    <s v="Y"/>
    <x v="1"/>
    <n v="11"/>
    <n v="3"/>
    <n v="1"/>
    <n v="80"/>
    <n v="1"/>
    <n v="20"/>
    <n v="2"/>
    <x v="1"/>
    <n v="20"/>
    <n v="7"/>
    <n v="2"/>
    <n v="13"/>
    <x v="1"/>
    <x v="0"/>
  </r>
  <r>
    <n v="35"/>
    <x v="1"/>
    <s v="Travel_Rarely"/>
    <n v="662"/>
    <x v="0"/>
    <n v="1"/>
    <n v="5"/>
    <s v="Marketing"/>
    <n v="1"/>
    <x v="151"/>
    <n v="3"/>
    <s v="Male"/>
    <n v="94"/>
    <n v="3"/>
    <n v="3"/>
    <x v="0"/>
    <x v="1"/>
    <s v="Married"/>
    <n v="7295"/>
    <n v="11439"/>
    <n v="1"/>
    <s v="Y"/>
    <x v="1"/>
    <n v="13"/>
    <n v="3"/>
    <n v="1"/>
    <n v="80"/>
    <n v="2"/>
    <n v="10"/>
    <n v="3"/>
    <x v="1"/>
    <n v="10"/>
    <n v="8"/>
    <n v="0"/>
    <n v="6"/>
    <x v="1"/>
    <x v="2"/>
  </r>
  <r>
    <n v="53"/>
    <x v="1"/>
    <s v="Travel_Rarely"/>
    <n v="1436"/>
    <x v="0"/>
    <n v="6"/>
    <n v="2"/>
    <s v="Marketing"/>
    <n v="1"/>
    <x v="152"/>
    <n v="2"/>
    <s v="Male"/>
    <n v="34"/>
    <n v="3"/>
    <n v="2"/>
    <x v="6"/>
    <x v="2"/>
    <s v="Married"/>
    <n v="2306"/>
    <n v="16047"/>
    <n v="2"/>
    <s v="Y"/>
    <x v="0"/>
    <n v="20"/>
    <n v="4"/>
    <n v="4"/>
    <n v="80"/>
    <n v="1"/>
    <n v="13"/>
    <n v="3"/>
    <x v="0"/>
    <n v="7"/>
    <n v="7"/>
    <n v="4"/>
    <n v="5"/>
    <x v="3"/>
    <x v="1"/>
  </r>
  <r>
    <n v="45"/>
    <x v="1"/>
    <s v="Travel_Rarely"/>
    <n v="194"/>
    <x v="1"/>
    <n v="9"/>
    <n v="3"/>
    <s v="Life Sciences"/>
    <n v="1"/>
    <x v="153"/>
    <n v="2"/>
    <s v="Male"/>
    <n v="60"/>
    <n v="3"/>
    <n v="2"/>
    <x v="2"/>
    <x v="1"/>
    <s v="Divorced"/>
    <n v="2348"/>
    <n v="10901"/>
    <n v="8"/>
    <s v="Y"/>
    <x v="1"/>
    <n v="18"/>
    <n v="3"/>
    <n v="3"/>
    <n v="80"/>
    <n v="1"/>
    <n v="20"/>
    <n v="2"/>
    <x v="0"/>
    <n v="17"/>
    <n v="9"/>
    <n v="0"/>
    <n v="15"/>
    <x v="0"/>
    <x v="1"/>
  </r>
  <r>
    <n v="32"/>
    <x v="1"/>
    <s v="Travel_Frequently"/>
    <n v="967"/>
    <x v="0"/>
    <n v="8"/>
    <n v="3"/>
    <s v="Marketing"/>
    <n v="1"/>
    <x v="154"/>
    <n v="2"/>
    <s v="Female"/>
    <n v="43"/>
    <n v="3"/>
    <n v="3"/>
    <x v="0"/>
    <x v="0"/>
    <s v="Single"/>
    <n v="8998"/>
    <n v="15589"/>
    <n v="1"/>
    <s v="Y"/>
    <x v="1"/>
    <n v="14"/>
    <n v="3"/>
    <n v="4"/>
    <n v="80"/>
    <n v="0"/>
    <n v="9"/>
    <n v="2"/>
    <x v="1"/>
    <n v="9"/>
    <n v="8"/>
    <n v="3"/>
    <n v="7"/>
    <x v="1"/>
    <x v="2"/>
  </r>
  <r>
    <n v="29"/>
    <x v="1"/>
    <s v="Non-Travel"/>
    <n v="1496"/>
    <x v="1"/>
    <n v="1"/>
    <n v="1"/>
    <s v="Technical Degree"/>
    <n v="1"/>
    <x v="155"/>
    <n v="4"/>
    <s v="Male"/>
    <n v="41"/>
    <n v="3"/>
    <n v="2"/>
    <x v="3"/>
    <x v="2"/>
    <s v="Married"/>
    <n v="4319"/>
    <n v="26283"/>
    <n v="1"/>
    <s v="Y"/>
    <x v="1"/>
    <n v="13"/>
    <n v="3"/>
    <n v="1"/>
    <n v="80"/>
    <n v="1"/>
    <n v="10"/>
    <n v="1"/>
    <x v="1"/>
    <n v="10"/>
    <n v="7"/>
    <n v="0"/>
    <n v="9"/>
    <x v="2"/>
    <x v="0"/>
  </r>
  <r>
    <n v="51"/>
    <x v="1"/>
    <s v="Travel_Rarely"/>
    <n v="1169"/>
    <x v="1"/>
    <n v="7"/>
    <n v="4"/>
    <s v="Medical"/>
    <n v="1"/>
    <x v="156"/>
    <n v="2"/>
    <s v="Male"/>
    <n v="34"/>
    <n v="2"/>
    <n v="2"/>
    <x v="3"/>
    <x v="2"/>
    <s v="Married"/>
    <n v="6132"/>
    <n v="13983"/>
    <n v="2"/>
    <s v="Y"/>
    <x v="1"/>
    <n v="17"/>
    <n v="3"/>
    <n v="3"/>
    <n v="80"/>
    <n v="0"/>
    <n v="10"/>
    <n v="2"/>
    <x v="1"/>
    <n v="1"/>
    <n v="0"/>
    <n v="0"/>
    <n v="0"/>
    <x v="3"/>
    <x v="0"/>
  </r>
  <r>
    <n v="58"/>
    <x v="1"/>
    <s v="Travel_Rarely"/>
    <n v="1145"/>
    <x v="1"/>
    <n v="9"/>
    <n v="3"/>
    <s v="Medical"/>
    <n v="1"/>
    <x v="157"/>
    <n v="2"/>
    <s v="Female"/>
    <n v="75"/>
    <n v="2"/>
    <n v="1"/>
    <x v="1"/>
    <x v="1"/>
    <s v="Married"/>
    <n v="3346"/>
    <n v="11873"/>
    <n v="4"/>
    <s v="Y"/>
    <x v="0"/>
    <n v="20"/>
    <n v="4"/>
    <n v="2"/>
    <n v="80"/>
    <n v="1"/>
    <n v="9"/>
    <n v="3"/>
    <x v="2"/>
    <n v="1"/>
    <n v="0"/>
    <n v="0"/>
    <n v="0"/>
    <x v="3"/>
    <x v="1"/>
  </r>
  <r>
    <n v="40"/>
    <x v="1"/>
    <s v="Travel_Rarely"/>
    <n v="630"/>
    <x v="0"/>
    <n v="4"/>
    <n v="4"/>
    <s v="Marketing"/>
    <n v="1"/>
    <x v="158"/>
    <n v="3"/>
    <s v="Male"/>
    <n v="67"/>
    <n v="2"/>
    <n v="3"/>
    <x v="0"/>
    <x v="0"/>
    <s v="Married"/>
    <n v="10855"/>
    <n v="8552"/>
    <n v="7"/>
    <s v="Y"/>
    <x v="1"/>
    <n v="11"/>
    <n v="3"/>
    <n v="1"/>
    <n v="80"/>
    <n v="1"/>
    <n v="15"/>
    <n v="2"/>
    <x v="2"/>
    <n v="12"/>
    <n v="11"/>
    <n v="2"/>
    <n v="11"/>
    <x v="1"/>
    <x v="2"/>
  </r>
  <r>
    <n v="34"/>
    <x v="1"/>
    <s v="Travel_Frequently"/>
    <n v="303"/>
    <x v="0"/>
    <n v="2"/>
    <n v="4"/>
    <s v="Marketing"/>
    <n v="1"/>
    <x v="159"/>
    <n v="3"/>
    <s v="Female"/>
    <n v="75"/>
    <n v="3"/>
    <n v="1"/>
    <x v="6"/>
    <x v="2"/>
    <s v="Married"/>
    <n v="2231"/>
    <n v="11314"/>
    <n v="6"/>
    <s v="Y"/>
    <x v="1"/>
    <n v="18"/>
    <n v="3"/>
    <n v="4"/>
    <n v="80"/>
    <n v="1"/>
    <n v="6"/>
    <n v="3"/>
    <x v="1"/>
    <n v="4"/>
    <n v="3"/>
    <n v="1"/>
    <n v="2"/>
    <x v="1"/>
    <x v="1"/>
  </r>
  <r>
    <n v="22"/>
    <x v="1"/>
    <s v="Travel_Rarely"/>
    <n v="1256"/>
    <x v="1"/>
    <n v="19"/>
    <n v="1"/>
    <s v="Medical"/>
    <n v="1"/>
    <x v="160"/>
    <n v="3"/>
    <s v="Male"/>
    <n v="80"/>
    <n v="3"/>
    <n v="1"/>
    <x v="1"/>
    <x v="0"/>
    <s v="Married"/>
    <n v="2323"/>
    <n v="11992"/>
    <n v="1"/>
    <s v="Y"/>
    <x v="1"/>
    <n v="24"/>
    <n v="4"/>
    <n v="1"/>
    <n v="80"/>
    <n v="2"/>
    <n v="2"/>
    <n v="6"/>
    <x v="1"/>
    <n v="2"/>
    <n v="2"/>
    <n v="2"/>
    <n v="2"/>
    <x v="2"/>
    <x v="1"/>
  </r>
  <r>
    <n v="27"/>
    <x v="1"/>
    <s v="Non-Travel"/>
    <n v="691"/>
    <x v="1"/>
    <n v="9"/>
    <n v="3"/>
    <s v="Medical"/>
    <n v="1"/>
    <x v="161"/>
    <n v="4"/>
    <s v="Male"/>
    <n v="57"/>
    <n v="3"/>
    <n v="1"/>
    <x v="1"/>
    <x v="1"/>
    <s v="Divorced"/>
    <n v="2024"/>
    <n v="5970"/>
    <n v="6"/>
    <s v="Y"/>
    <x v="1"/>
    <n v="18"/>
    <n v="3"/>
    <n v="4"/>
    <n v="80"/>
    <n v="1"/>
    <n v="6"/>
    <n v="1"/>
    <x v="0"/>
    <n v="2"/>
    <n v="2"/>
    <n v="2"/>
    <n v="2"/>
    <x v="2"/>
    <x v="1"/>
  </r>
  <r>
    <n v="28"/>
    <x v="1"/>
    <s v="Travel_Rarely"/>
    <n v="440"/>
    <x v="1"/>
    <n v="21"/>
    <n v="3"/>
    <s v="Medical"/>
    <n v="1"/>
    <x v="162"/>
    <n v="3"/>
    <s v="Male"/>
    <n v="42"/>
    <n v="3"/>
    <n v="1"/>
    <x v="1"/>
    <x v="0"/>
    <s v="Married"/>
    <n v="2713"/>
    <n v="6672"/>
    <n v="1"/>
    <s v="Y"/>
    <x v="1"/>
    <n v="11"/>
    <n v="3"/>
    <n v="3"/>
    <n v="80"/>
    <n v="1"/>
    <n v="5"/>
    <n v="2"/>
    <x v="0"/>
    <n v="5"/>
    <n v="2"/>
    <n v="0"/>
    <n v="2"/>
    <x v="2"/>
    <x v="1"/>
  </r>
  <r>
    <n v="57"/>
    <x v="1"/>
    <s v="Travel_Rarely"/>
    <n v="334"/>
    <x v="1"/>
    <n v="24"/>
    <n v="2"/>
    <s v="Life Sciences"/>
    <n v="1"/>
    <x v="163"/>
    <n v="3"/>
    <s v="Male"/>
    <n v="83"/>
    <n v="4"/>
    <n v="3"/>
    <x v="4"/>
    <x v="0"/>
    <s v="Divorced"/>
    <n v="9439"/>
    <n v="23402"/>
    <n v="3"/>
    <s v="Y"/>
    <x v="0"/>
    <n v="16"/>
    <n v="3"/>
    <n v="2"/>
    <n v="80"/>
    <n v="1"/>
    <n v="12"/>
    <n v="2"/>
    <x v="0"/>
    <n v="5"/>
    <n v="3"/>
    <n v="1"/>
    <n v="4"/>
    <x v="3"/>
    <x v="2"/>
  </r>
  <r>
    <n v="27"/>
    <x v="1"/>
    <s v="Non-Travel"/>
    <n v="1450"/>
    <x v="1"/>
    <n v="3"/>
    <n v="3"/>
    <s v="Medical"/>
    <n v="1"/>
    <x v="164"/>
    <n v="3"/>
    <s v="Male"/>
    <n v="79"/>
    <n v="2"/>
    <n v="1"/>
    <x v="1"/>
    <x v="2"/>
    <s v="Divorced"/>
    <n v="2566"/>
    <n v="25326"/>
    <n v="1"/>
    <s v="Y"/>
    <x v="0"/>
    <n v="15"/>
    <n v="3"/>
    <n v="4"/>
    <n v="80"/>
    <n v="1"/>
    <n v="1"/>
    <n v="2"/>
    <x v="2"/>
    <n v="1"/>
    <n v="1"/>
    <n v="0"/>
    <n v="1"/>
    <x v="2"/>
    <x v="1"/>
  </r>
  <r>
    <n v="50"/>
    <x v="1"/>
    <s v="Travel_Rarely"/>
    <n v="1452"/>
    <x v="1"/>
    <n v="11"/>
    <n v="3"/>
    <s v="Life Sciences"/>
    <n v="1"/>
    <x v="165"/>
    <n v="3"/>
    <s v="Female"/>
    <n v="53"/>
    <n v="3"/>
    <n v="5"/>
    <x v="5"/>
    <x v="1"/>
    <s v="Single"/>
    <n v="19926"/>
    <n v="17053"/>
    <n v="3"/>
    <s v="Y"/>
    <x v="1"/>
    <n v="15"/>
    <n v="3"/>
    <n v="2"/>
    <n v="80"/>
    <n v="0"/>
    <n v="21"/>
    <n v="5"/>
    <x v="1"/>
    <n v="5"/>
    <n v="4"/>
    <n v="4"/>
    <n v="4"/>
    <x v="0"/>
    <x v="2"/>
  </r>
  <r>
    <n v="41"/>
    <x v="1"/>
    <s v="Travel_Rarely"/>
    <n v="465"/>
    <x v="1"/>
    <n v="14"/>
    <n v="3"/>
    <s v="Life Sciences"/>
    <n v="1"/>
    <x v="166"/>
    <n v="1"/>
    <s v="Male"/>
    <n v="56"/>
    <n v="3"/>
    <n v="1"/>
    <x v="1"/>
    <x v="2"/>
    <s v="Divorced"/>
    <n v="2451"/>
    <n v="4609"/>
    <n v="4"/>
    <s v="Y"/>
    <x v="1"/>
    <n v="12"/>
    <n v="3"/>
    <n v="1"/>
    <n v="80"/>
    <n v="1"/>
    <n v="13"/>
    <n v="2"/>
    <x v="1"/>
    <n v="9"/>
    <n v="8"/>
    <n v="1"/>
    <n v="8"/>
    <x v="0"/>
    <x v="1"/>
  </r>
  <r>
    <n v="30"/>
    <x v="1"/>
    <s v="Travel_Rarely"/>
    <n v="1339"/>
    <x v="0"/>
    <n v="5"/>
    <n v="3"/>
    <s v="Life Sciences"/>
    <n v="1"/>
    <x v="167"/>
    <n v="2"/>
    <s v="Female"/>
    <n v="41"/>
    <n v="3"/>
    <n v="3"/>
    <x v="0"/>
    <x v="0"/>
    <s v="Married"/>
    <n v="9419"/>
    <n v="8053"/>
    <n v="2"/>
    <s v="Y"/>
    <x v="1"/>
    <n v="12"/>
    <n v="3"/>
    <n v="3"/>
    <n v="80"/>
    <n v="1"/>
    <n v="12"/>
    <n v="2"/>
    <x v="1"/>
    <n v="10"/>
    <n v="9"/>
    <n v="7"/>
    <n v="4"/>
    <x v="1"/>
    <x v="2"/>
  </r>
  <r>
    <n v="38"/>
    <x v="1"/>
    <s v="Travel_Rarely"/>
    <n v="702"/>
    <x v="0"/>
    <n v="1"/>
    <n v="4"/>
    <s v="Life Sciences"/>
    <n v="1"/>
    <x v="168"/>
    <n v="1"/>
    <s v="Female"/>
    <n v="59"/>
    <n v="2"/>
    <n v="2"/>
    <x v="0"/>
    <x v="0"/>
    <s v="Single"/>
    <n v="8686"/>
    <n v="12930"/>
    <n v="4"/>
    <s v="Y"/>
    <x v="1"/>
    <n v="22"/>
    <n v="4"/>
    <n v="3"/>
    <n v="80"/>
    <n v="0"/>
    <n v="12"/>
    <n v="2"/>
    <x v="3"/>
    <n v="8"/>
    <n v="3"/>
    <n v="0"/>
    <n v="7"/>
    <x v="1"/>
    <x v="2"/>
  </r>
  <r>
    <n v="32"/>
    <x v="1"/>
    <s v="Travel_Rarely"/>
    <n v="120"/>
    <x v="1"/>
    <n v="6"/>
    <n v="5"/>
    <s v="Life Sciences"/>
    <n v="1"/>
    <x v="169"/>
    <n v="3"/>
    <s v="Male"/>
    <n v="43"/>
    <n v="3"/>
    <n v="1"/>
    <x v="1"/>
    <x v="2"/>
    <s v="Single"/>
    <n v="3038"/>
    <n v="12430"/>
    <n v="3"/>
    <s v="Y"/>
    <x v="1"/>
    <n v="20"/>
    <n v="4"/>
    <n v="1"/>
    <n v="80"/>
    <n v="0"/>
    <n v="8"/>
    <n v="2"/>
    <x v="1"/>
    <n v="5"/>
    <n v="4"/>
    <n v="1"/>
    <n v="4"/>
    <x v="1"/>
    <x v="1"/>
  </r>
  <r>
    <n v="27"/>
    <x v="1"/>
    <s v="Travel_Rarely"/>
    <n v="1157"/>
    <x v="1"/>
    <n v="17"/>
    <n v="3"/>
    <s v="Technical Degree"/>
    <n v="1"/>
    <x v="170"/>
    <n v="3"/>
    <s v="Male"/>
    <n v="51"/>
    <n v="3"/>
    <n v="1"/>
    <x v="1"/>
    <x v="1"/>
    <s v="Married"/>
    <n v="3058"/>
    <n v="13364"/>
    <n v="0"/>
    <s v="Y"/>
    <x v="0"/>
    <n v="16"/>
    <n v="3"/>
    <n v="4"/>
    <n v="80"/>
    <n v="1"/>
    <n v="6"/>
    <n v="3"/>
    <x v="2"/>
    <n v="5"/>
    <n v="2"/>
    <n v="1"/>
    <n v="1"/>
    <x v="2"/>
    <x v="1"/>
  </r>
  <r>
    <n v="19"/>
    <x v="0"/>
    <s v="Travel_Frequently"/>
    <n v="602"/>
    <x v="0"/>
    <n v="1"/>
    <n v="1"/>
    <s v="Technical Degree"/>
    <n v="1"/>
    <x v="171"/>
    <n v="3"/>
    <s v="Female"/>
    <n v="100"/>
    <n v="1"/>
    <n v="1"/>
    <x v="6"/>
    <x v="3"/>
    <s v="Single"/>
    <n v="2325"/>
    <n v="20989"/>
    <n v="0"/>
    <s v="Y"/>
    <x v="1"/>
    <n v="21"/>
    <n v="4"/>
    <n v="1"/>
    <n v="80"/>
    <n v="0"/>
    <n v="1"/>
    <n v="5"/>
    <x v="3"/>
    <n v="0"/>
    <n v="0"/>
    <n v="0"/>
    <n v="0"/>
    <x v="2"/>
    <x v="1"/>
  </r>
  <r>
    <n v="36"/>
    <x v="1"/>
    <s v="Travel_Frequently"/>
    <n v="1480"/>
    <x v="1"/>
    <n v="3"/>
    <n v="2"/>
    <s v="Medical"/>
    <n v="1"/>
    <x v="172"/>
    <n v="4"/>
    <s v="Male"/>
    <n v="30"/>
    <n v="3"/>
    <n v="1"/>
    <x v="2"/>
    <x v="1"/>
    <s v="Single"/>
    <n v="2088"/>
    <n v="15062"/>
    <n v="4"/>
    <s v="Y"/>
    <x v="1"/>
    <n v="12"/>
    <n v="3"/>
    <n v="3"/>
    <n v="80"/>
    <n v="0"/>
    <n v="13"/>
    <n v="3"/>
    <x v="2"/>
    <n v="8"/>
    <n v="7"/>
    <n v="7"/>
    <n v="2"/>
    <x v="1"/>
    <x v="1"/>
  </r>
  <r>
    <n v="30"/>
    <x v="1"/>
    <s v="Non-Travel"/>
    <n v="111"/>
    <x v="1"/>
    <n v="9"/>
    <n v="3"/>
    <s v="Medical"/>
    <n v="1"/>
    <x v="173"/>
    <n v="3"/>
    <s v="Male"/>
    <n v="66"/>
    <n v="3"/>
    <n v="2"/>
    <x v="2"/>
    <x v="3"/>
    <s v="Divorced"/>
    <n v="3072"/>
    <n v="11012"/>
    <n v="1"/>
    <s v="Y"/>
    <x v="1"/>
    <n v="11"/>
    <n v="3"/>
    <n v="3"/>
    <n v="80"/>
    <n v="2"/>
    <n v="12"/>
    <n v="4"/>
    <x v="1"/>
    <n v="12"/>
    <n v="9"/>
    <n v="6"/>
    <n v="10"/>
    <x v="1"/>
    <x v="1"/>
  </r>
  <r>
    <n v="45"/>
    <x v="1"/>
    <s v="Travel_Rarely"/>
    <n v="1268"/>
    <x v="0"/>
    <n v="4"/>
    <n v="2"/>
    <s v="Life Sciences"/>
    <n v="1"/>
    <x v="174"/>
    <n v="3"/>
    <s v="Female"/>
    <n v="30"/>
    <n v="3"/>
    <n v="2"/>
    <x v="0"/>
    <x v="3"/>
    <s v="Divorced"/>
    <n v="5006"/>
    <n v="6319"/>
    <n v="4"/>
    <s v="Y"/>
    <x v="0"/>
    <n v="11"/>
    <n v="3"/>
    <n v="1"/>
    <n v="80"/>
    <n v="1"/>
    <n v="9"/>
    <n v="3"/>
    <x v="3"/>
    <n v="5"/>
    <n v="4"/>
    <n v="0"/>
    <n v="3"/>
    <x v="0"/>
    <x v="0"/>
  </r>
  <r>
    <n v="56"/>
    <x v="1"/>
    <s v="Travel_Rarely"/>
    <n v="713"/>
    <x v="1"/>
    <n v="8"/>
    <n v="3"/>
    <s v="Life Sciences"/>
    <n v="1"/>
    <x v="175"/>
    <n v="3"/>
    <s v="Female"/>
    <n v="67"/>
    <n v="3"/>
    <n v="1"/>
    <x v="1"/>
    <x v="3"/>
    <s v="Divorced"/>
    <n v="4257"/>
    <n v="13939"/>
    <n v="4"/>
    <s v="Y"/>
    <x v="0"/>
    <n v="18"/>
    <n v="3"/>
    <n v="3"/>
    <n v="80"/>
    <n v="1"/>
    <n v="19"/>
    <n v="3"/>
    <x v="1"/>
    <n v="2"/>
    <n v="2"/>
    <n v="2"/>
    <n v="2"/>
    <x v="3"/>
    <x v="0"/>
  </r>
  <r>
    <n v="33"/>
    <x v="1"/>
    <s v="Travel_Rarely"/>
    <n v="134"/>
    <x v="1"/>
    <n v="2"/>
    <n v="3"/>
    <s v="Life Sciences"/>
    <n v="1"/>
    <x v="176"/>
    <n v="3"/>
    <s v="Male"/>
    <n v="90"/>
    <n v="3"/>
    <n v="1"/>
    <x v="1"/>
    <x v="0"/>
    <s v="Single"/>
    <n v="2500"/>
    <n v="10515"/>
    <n v="0"/>
    <s v="Y"/>
    <x v="1"/>
    <n v="14"/>
    <n v="3"/>
    <n v="1"/>
    <n v="80"/>
    <n v="0"/>
    <n v="4"/>
    <n v="2"/>
    <x v="3"/>
    <n v="3"/>
    <n v="1"/>
    <n v="0"/>
    <n v="2"/>
    <x v="1"/>
    <x v="1"/>
  </r>
  <r>
    <n v="19"/>
    <x v="0"/>
    <s v="Travel_Rarely"/>
    <n v="303"/>
    <x v="1"/>
    <n v="2"/>
    <n v="3"/>
    <s v="Life Sciences"/>
    <n v="1"/>
    <x v="177"/>
    <n v="2"/>
    <s v="Male"/>
    <n v="47"/>
    <n v="2"/>
    <n v="1"/>
    <x v="2"/>
    <x v="0"/>
    <s v="Single"/>
    <n v="1102"/>
    <n v="9241"/>
    <n v="1"/>
    <s v="Y"/>
    <x v="1"/>
    <n v="22"/>
    <n v="4"/>
    <n v="3"/>
    <n v="80"/>
    <n v="0"/>
    <n v="1"/>
    <n v="3"/>
    <x v="2"/>
    <n v="1"/>
    <n v="0"/>
    <n v="1"/>
    <n v="0"/>
    <x v="2"/>
    <x v="1"/>
  </r>
  <r>
    <n v="46"/>
    <x v="1"/>
    <s v="Travel_Rarely"/>
    <n v="526"/>
    <x v="0"/>
    <n v="1"/>
    <n v="2"/>
    <s v="Marketing"/>
    <n v="1"/>
    <x v="178"/>
    <n v="2"/>
    <s v="Female"/>
    <n v="92"/>
    <n v="3"/>
    <n v="3"/>
    <x v="0"/>
    <x v="3"/>
    <s v="Divorced"/>
    <n v="10453"/>
    <n v="2137"/>
    <n v="1"/>
    <s v="Y"/>
    <x v="1"/>
    <n v="25"/>
    <n v="4"/>
    <n v="3"/>
    <n v="80"/>
    <n v="3"/>
    <n v="24"/>
    <n v="2"/>
    <x v="1"/>
    <n v="24"/>
    <n v="13"/>
    <n v="15"/>
    <n v="7"/>
    <x v="0"/>
    <x v="2"/>
  </r>
  <r>
    <n v="38"/>
    <x v="1"/>
    <s v="Travel_Rarely"/>
    <n v="1380"/>
    <x v="1"/>
    <n v="9"/>
    <n v="2"/>
    <s v="Life Sciences"/>
    <n v="1"/>
    <x v="179"/>
    <n v="3"/>
    <s v="Female"/>
    <n v="75"/>
    <n v="3"/>
    <n v="1"/>
    <x v="2"/>
    <x v="0"/>
    <s v="Single"/>
    <n v="2288"/>
    <n v="6319"/>
    <n v="1"/>
    <s v="Y"/>
    <x v="1"/>
    <n v="12"/>
    <n v="3"/>
    <n v="3"/>
    <n v="80"/>
    <n v="0"/>
    <n v="2"/>
    <n v="3"/>
    <x v="1"/>
    <n v="2"/>
    <n v="2"/>
    <n v="2"/>
    <n v="1"/>
    <x v="1"/>
    <x v="1"/>
  </r>
  <r>
    <n v="31"/>
    <x v="1"/>
    <s v="Travel_Rarely"/>
    <n v="140"/>
    <x v="1"/>
    <n v="12"/>
    <n v="1"/>
    <s v="Medical"/>
    <n v="1"/>
    <x v="180"/>
    <n v="3"/>
    <s v="Female"/>
    <n v="95"/>
    <n v="3"/>
    <n v="1"/>
    <x v="1"/>
    <x v="0"/>
    <s v="Married"/>
    <n v="3929"/>
    <n v="6984"/>
    <n v="8"/>
    <s v="Y"/>
    <x v="0"/>
    <n v="23"/>
    <n v="4"/>
    <n v="3"/>
    <n v="80"/>
    <n v="1"/>
    <n v="7"/>
    <n v="0"/>
    <x v="1"/>
    <n v="4"/>
    <n v="2"/>
    <n v="0"/>
    <n v="2"/>
    <x v="1"/>
    <x v="1"/>
  </r>
  <r>
    <n v="34"/>
    <x v="1"/>
    <s v="Travel_Rarely"/>
    <n v="629"/>
    <x v="1"/>
    <n v="27"/>
    <n v="2"/>
    <s v="Medical"/>
    <n v="1"/>
    <x v="181"/>
    <n v="4"/>
    <s v="Female"/>
    <n v="95"/>
    <n v="3"/>
    <n v="1"/>
    <x v="1"/>
    <x v="1"/>
    <s v="Single"/>
    <n v="2311"/>
    <n v="5711"/>
    <n v="2"/>
    <s v="Y"/>
    <x v="1"/>
    <n v="15"/>
    <n v="3"/>
    <n v="4"/>
    <n v="80"/>
    <n v="0"/>
    <n v="9"/>
    <n v="3"/>
    <x v="1"/>
    <n v="3"/>
    <n v="2"/>
    <n v="1"/>
    <n v="2"/>
    <x v="1"/>
    <x v="1"/>
  </r>
  <r>
    <n v="41"/>
    <x v="0"/>
    <s v="Travel_Rarely"/>
    <n v="1356"/>
    <x v="0"/>
    <n v="20"/>
    <n v="2"/>
    <s v="Marketing"/>
    <n v="1"/>
    <x v="182"/>
    <n v="2"/>
    <s v="Female"/>
    <n v="70"/>
    <n v="3"/>
    <n v="1"/>
    <x v="6"/>
    <x v="1"/>
    <s v="Single"/>
    <n v="3140"/>
    <n v="21728"/>
    <n v="1"/>
    <s v="Y"/>
    <x v="0"/>
    <n v="22"/>
    <n v="4"/>
    <n v="4"/>
    <n v="80"/>
    <n v="0"/>
    <n v="4"/>
    <n v="5"/>
    <x v="2"/>
    <n v="4"/>
    <n v="3"/>
    <n v="0"/>
    <n v="2"/>
    <x v="0"/>
    <x v="1"/>
  </r>
  <r>
    <n v="50"/>
    <x v="1"/>
    <s v="Travel_Rarely"/>
    <n v="328"/>
    <x v="1"/>
    <n v="1"/>
    <n v="3"/>
    <s v="Medical"/>
    <n v="1"/>
    <x v="183"/>
    <n v="3"/>
    <s v="Male"/>
    <n v="86"/>
    <n v="2"/>
    <n v="1"/>
    <x v="2"/>
    <x v="2"/>
    <s v="Married"/>
    <n v="3690"/>
    <n v="3425"/>
    <n v="2"/>
    <s v="Y"/>
    <x v="1"/>
    <n v="15"/>
    <n v="3"/>
    <n v="4"/>
    <n v="80"/>
    <n v="1"/>
    <n v="5"/>
    <n v="2"/>
    <x v="2"/>
    <n v="3"/>
    <n v="2"/>
    <n v="0"/>
    <n v="2"/>
    <x v="0"/>
    <x v="1"/>
  </r>
  <r>
    <n v="53"/>
    <x v="1"/>
    <s v="Travel_Rarely"/>
    <n v="1084"/>
    <x v="1"/>
    <n v="13"/>
    <n v="2"/>
    <s v="Medical"/>
    <n v="1"/>
    <x v="184"/>
    <n v="4"/>
    <s v="Female"/>
    <n v="57"/>
    <n v="4"/>
    <n v="2"/>
    <x v="3"/>
    <x v="3"/>
    <s v="Divorced"/>
    <n v="4450"/>
    <n v="26250"/>
    <n v="1"/>
    <s v="Y"/>
    <x v="1"/>
    <n v="11"/>
    <n v="3"/>
    <n v="3"/>
    <n v="80"/>
    <n v="2"/>
    <n v="5"/>
    <n v="3"/>
    <x v="1"/>
    <n v="4"/>
    <n v="2"/>
    <n v="1"/>
    <n v="3"/>
    <x v="3"/>
    <x v="0"/>
  </r>
  <r>
    <n v="33"/>
    <x v="1"/>
    <s v="Travel_Rarely"/>
    <n v="931"/>
    <x v="1"/>
    <n v="14"/>
    <n v="3"/>
    <s v="Medical"/>
    <n v="1"/>
    <x v="185"/>
    <n v="4"/>
    <s v="Female"/>
    <n v="72"/>
    <n v="3"/>
    <n v="1"/>
    <x v="1"/>
    <x v="1"/>
    <s v="Married"/>
    <n v="2756"/>
    <n v="4673"/>
    <n v="1"/>
    <s v="Y"/>
    <x v="1"/>
    <n v="13"/>
    <n v="3"/>
    <n v="4"/>
    <n v="80"/>
    <n v="1"/>
    <n v="8"/>
    <n v="5"/>
    <x v="1"/>
    <n v="8"/>
    <n v="7"/>
    <n v="1"/>
    <n v="6"/>
    <x v="1"/>
    <x v="1"/>
  </r>
  <r>
    <n v="40"/>
    <x v="1"/>
    <s v="Travel_Rarely"/>
    <n v="989"/>
    <x v="1"/>
    <n v="4"/>
    <n v="1"/>
    <s v="Medical"/>
    <n v="1"/>
    <x v="186"/>
    <n v="4"/>
    <s v="Female"/>
    <n v="46"/>
    <n v="3"/>
    <n v="5"/>
    <x v="5"/>
    <x v="2"/>
    <s v="Married"/>
    <n v="19033"/>
    <n v="6499"/>
    <n v="1"/>
    <s v="Y"/>
    <x v="1"/>
    <n v="14"/>
    <n v="3"/>
    <n v="2"/>
    <n v="80"/>
    <n v="1"/>
    <n v="21"/>
    <n v="2"/>
    <x v="1"/>
    <n v="20"/>
    <n v="8"/>
    <n v="9"/>
    <n v="9"/>
    <x v="1"/>
    <x v="2"/>
  </r>
  <r>
    <n v="55"/>
    <x v="1"/>
    <s v="Travel_Rarely"/>
    <n v="692"/>
    <x v="1"/>
    <n v="14"/>
    <n v="4"/>
    <s v="Medical"/>
    <n v="1"/>
    <x v="187"/>
    <n v="3"/>
    <s v="Male"/>
    <n v="61"/>
    <n v="4"/>
    <n v="5"/>
    <x v="7"/>
    <x v="1"/>
    <s v="Single"/>
    <n v="18722"/>
    <n v="13339"/>
    <n v="8"/>
    <s v="Y"/>
    <x v="1"/>
    <n v="11"/>
    <n v="3"/>
    <n v="4"/>
    <n v="80"/>
    <n v="0"/>
    <n v="36"/>
    <n v="3"/>
    <x v="1"/>
    <n v="24"/>
    <n v="15"/>
    <n v="2"/>
    <n v="15"/>
    <x v="3"/>
    <x v="2"/>
  </r>
  <r>
    <n v="34"/>
    <x v="1"/>
    <s v="Travel_Frequently"/>
    <n v="1069"/>
    <x v="1"/>
    <n v="2"/>
    <n v="1"/>
    <s v="Life Sciences"/>
    <n v="1"/>
    <x v="188"/>
    <n v="4"/>
    <s v="Male"/>
    <n v="45"/>
    <n v="2"/>
    <n v="2"/>
    <x v="3"/>
    <x v="2"/>
    <s v="Married"/>
    <n v="9547"/>
    <n v="14074"/>
    <n v="1"/>
    <s v="Y"/>
    <x v="1"/>
    <n v="17"/>
    <n v="3"/>
    <n v="3"/>
    <n v="80"/>
    <n v="0"/>
    <n v="10"/>
    <n v="2"/>
    <x v="2"/>
    <n v="10"/>
    <n v="9"/>
    <n v="1"/>
    <n v="9"/>
    <x v="1"/>
    <x v="2"/>
  </r>
  <r>
    <n v="51"/>
    <x v="1"/>
    <s v="Travel_Rarely"/>
    <n v="313"/>
    <x v="1"/>
    <n v="3"/>
    <n v="3"/>
    <s v="Medical"/>
    <n v="1"/>
    <x v="189"/>
    <n v="4"/>
    <s v="Female"/>
    <n v="98"/>
    <n v="3"/>
    <n v="4"/>
    <x v="4"/>
    <x v="1"/>
    <s v="Single"/>
    <n v="13734"/>
    <n v="7192"/>
    <n v="3"/>
    <s v="Y"/>
    <x v="1"/>
    <n v="18"/>
    <n v="3"/>
    <n v="3"/>
    <n v="80"/>
    <n v="0"/>
    <n v="21"/>
    <n v="6"/>
    <x v="1"/>
    <n v="7"/>
    <n v="7"/>
    <n v="1"/>
    <n v="0"/>
    <x v="3"/>
    <x v="2"/>
  </r>
  <r>
    <n v="52"/>
    <x v="1"/>
    <s v="Travel_Rarely"/>
    <n v="699"/>
    <x v="1"/>
    <n v="1"/>
    <n v="4"/>
    <s v="Life Sciences"/>
    <n v="1"/>
    <x v="190"/>
    <n v="3"/>
    <s v="Male"/>
    <n v="65"/>
    <n v="2"/>
    <n v="5"/>
    <x v="5"/>
    <x v="2"/>
    <s v="Married"/>
    <n v="19999"/>
    <n v="5678"/>
    <n v="0"/>
    <s v="Y"/>
    <x v="1"/>
    <n v="14"/>
    <n v="3"/>
    <n v="1"/>
    <n v="80"/>
    <n v="1"/>
    <n v="34"/>
    <n v="5"/>
    <x v="1"/>
    <n v="33"/>
    <n v="18"/>
    <n v="11"/>
    <n v="9"/>
    <x v="3"/>
    <x v="2"/>
  </r>
  <r>
    <n v="27"/>
    <x v="1"/>
    <s v="Travel_Rarely"/>
    <n v="894"/>
    <x v="1"/>
    <n v="9"/>
    <n v="3"/>
    <s v="Medical"/>
    <n v="1"/>
    <x v="191"/>
    <n v="4"/>
    <s v="Female"/>
    <n v="99"/>
    <n v="3"/>
    <n v="1"/>
    <x v="1"/>
    <x v="1"/>
    <s v="Single"/>
    <n v="2279"/>
    <n v="11781"/>
    <n v="1"/>
    <s v="Y"/>
    <x v="1"/>
    <n v="16"/>
    <n v="3"/>
    <n v="4"/>
    <n v="80"/>
    <n v="0"/>
    <n v="7"/>
    <n v="2"/>
    <x v="2"/>
    <n v="7"/>
    <n v="7"/>
    <n v="0"/>
    <n v="3"/>
    <x v="2"/>
    <x v="1"/>
  </r>
  <r>
    <n v="35"/>
    <x v="0"/>
    <s v="Travel_Rarely"/>
    <n v="556"/>
    <x v="1"/>
    <n v="23"/>
    <n v="2"/>
    <s v="Life Sciences"/>
    <n v="1"/>
    <x v="192"/>
    <n v="2"/>
    <s v="Male"/>
    <n v="50"/>
    <n v="2"/>
    <n v="2"/>
    <x v="3"/>
    <x v="2"/>
    <s v="Married"/>
    <n v="5916"/>
    <n v="15497"/>
    <n v="3"/>
    <s v="Y"/>
    <x v="0"/>
    <n v="13"/>
    <n v="3"/>
    <n v="1"/>
    <n v="80"/>
    <n v="0"/>
    <n v="8"/>
    <n v="1"/>
    <x v="1"/>
    <n v="1"/>
    <n v="0"/>
    <n v="0"/>
    <n v="1"/>
    <x v="1"/>
    <x v="0"/>
  </r>
  <r>
    <n v="43"/>
    <x v="1"/>
    <s v="Non-Travel"/>
    <n v="1344"/>
    <x v="1"/>
    <n v="7"/>
    <n v="3"/>
    <s v="Medical"/>
    <n v="1"/>
    <x v="193"/>
    <n v="4"/>
    <s v="Male"/>
    <n v="37"/>
    <n v="4"/>
    <n v="1"/>
    <x v="1"/>
    <x v="0"/>
    <s v="Divorced"/>
    <n v="2089"/>
    <n v="5228"/>
    <n v="4"/>
    <s v="Y"/>
    <x v="1"/>
    <n v="14"/>
    <n v="3"/>
    <n v="4"/>
    <n v="80"/>
    <n v="3"/>
    <n v="7"/>
    <n v="3"/>
    <x v="3"/>
    <n v="5"/>
    <n v="4"/>
    <n v="2"/>
    <n v="2"/>
    <x v="0"/>
    <x v="1"/>
  </r>
  <r>
    <n v="45"/>
    <x v="1"/>
    <s v="Non-Travel"/>
    <n v="1195"/>
    <x v="1"/>
    <n v="2"/>
    <n v="2"/>
    <s v="Medical"/>
    <n v="1"/>
    <x v="194"/>
    <n v="1"/>
    <s v="Male"/>
    <n v="65"/>
    <n v="2"/>
    <n v="4"/>
    <x v="5"/>
    <x v="0"/>
    <s v="Married"/>
    <n v="16792"/>
    <n v="20462"/>
    <n v="9"/>
    <s v="Y"/>
    <x v="1"/>
    <n v="23"/>
    <n v="4"/>
    <n v="4"/>
    <n v="80"/>
    <n v="1"/>
    <n v="22"/>
    <n v="1"/>
    <x v="1"/>
    <n v="20"/>
    <n v="8"/>
    <n v="11"/>
    <n v="8"/>
    <x v="0"/>
    <x v="2"/>
  </r>
  <r>
    <n v="37"/>
    <x v="1"/>
    <s v="Travel_Rarely"/>
    <n v="290"/>
    <x v="1"/>
    <n v="21"/>
    <n v="3"/>
    <s v="Life Sciences"/>
    <n v="1"/>
    <x v="195"/>
    <n v="2"/>
    <s v="Male"/>
    <n v="65"/>
    <n v="4"/>
    <n v="1"/>
    <x v="1"/>
    <x v="3"/>
    <s v="Married"/>
    <n v="3564"/>
    <n v="22977"/>
    <n v="1"/>
    <s v="Y"/>
    <x v="0"/>
    <n v="12"/>
    <n v="3"/>
    <n v="1"/>
    <n v="80"/>
    <n v="1"/>
    <n v="8"/>
    <n v="3"/>
    <x v="2"/>
    <n v="8"/>
    <n v="7"/>
    <n v="1"/>
    <n v="7"/>
    <x v="1"/>
    <x v="1"/>
  </r>
  <r>
    <n v="35"/>
    <x v="1"/>
    <s v="Travel_Frequently"/>
    <n v="138"/>
    <x v="1"/>
    <n v="2"/>
    <n v="3"/>
    <s v="Medical"/>
    <n v="1"/>
    <x v="196"/>
    <n v="2"/>
    <s v="Female"/>
    <n v="37"/>
    <n v="3"/>
    <n v="2"/>
    <x v="2"/>
    <x v="1"/>
    <s v="Single"/>
    <n v="4425"/>
    <n v="15986"/>
    <n v="5"/>
    <s v="Y"/>
    <x v="1"/>
    <n v="11"/>
    <n v="3"/>
    <n v="4"/>
    <n v="80"/>
    <n v="0"/>
    <n v="10"/>
    <n v="5"/>
    <x v="1"/>
    <n v="6"/>
    <n v="2"/>
    <n v="1"/>
    <n v="2"/>
    <x v="1"/>
    <x v="0"/>
  </r>
  <r>
    <n v="42"/>
    <x v="1"/>
    <s v="Non-Travel"/>
    <n v="926"/>
    <x v="1"/>
    <n v="21"/>
    <n v="2"/>
    <s v="Medical"/>
    <n v="1"/>
    <x v="197"/>
    <n v="3"/>
    <s v="Female"/>
    <n v="36"/>
    <n v="3"/>
    <n v="2"/>
    <x v="3"/>
    <x v="2"/>
    <s v="Divorced"/>
    <n v="5265"/>
    <n v="16439"/>
    <n v="2"/>
    <s v="Y"/>
    <x v="1"/>
    <n v="16"/>
    <n v="3"/>
    <n v="2"/>
    <n v="80"/>
    <n v="1"/>
    <n v="11"/>
    <n v="5"/>
    <x v="1"/>
    <n v="5"/>
    <n v="3"/>
    <n v="0"/>
    <n v="2"/>
    <x v="0"/>
    <x v="0"/>
  </r>
  <r>
    <n v="38"/>
    <x v="1"/>
    <s v="Travel_Rarely"/>
    <n v="1261"/>
    <x v="1"/>
    <n v="2"/>
    <n v="4"/>
    <s v="Life Sciences"/>
    <n v="1"/>
    <x v="198"/>
    <n v="4"/>
    <s v="Male"/>
    <n v="88"/>
    <n v="3"/>
    <n v="2"/>
    <x v="3"/>
    <x v="2"/>
    <s v="Married"/>
    <n v="6553"/>
    <n v="7259"/>
    <n v="9"/>
    <s v="Y"/>
    <x v="1"/>
    <n v="14"/>
    <n v="3"/>
    <n v="2"/>
    <n v="80"/>
    <n v="0"/>
    <n v="14"/>
    <n v="3"/>
    <x v="1"/>
    <n v="1"/>
    <n v="0"/>
    <n v="0"/>
    <n v="0"/>
    <x v="1"/>
    <x v="0"/>
  </r>
  <r>
    <n v="38"/>
    <x v="1"/>
    <s v="Travel_Rarely"/>
    <n v="1084"/>
    <x v="1"/>
    <n v="29"/>
    <n v="3"/>
    <s v="Technical Degree"/>
    <n v="1"/>
    <x v="199"/>
    <n v="4"/>
    <s v="Male"/>
    <n v="54"/>
    <n v="3"/>
    <n v="2"/>
    <x v="3"/>
    <x v="0"/>
    <s v="Married"/>
    <n v="6261"/>
    <n v="4185"/>
    <n v="3"/>
    <s v="Y"/>
    <x v="1"/>
    <n v="18"/>
    <n v="3"/>
    <n v="1"/>
    <n v="80"/>
    <n v="1"/>
    <n v="9"/>
    <n v="3"/>
    <x v="0"/>
    <n v="7"/>
    <n v="7"/>
    <n v="1"/>
    <n v="7"/>
    <x v="1"/>
    <x v="0"/>
  </r>
  <r>
    <n v="27"/>
    <x v="1"/>
    <s v="Travel_Frequently"/>
    <n v="472"/>
    <x v="1"/>
    <n v="1"/>
    <n v="1"/>
    <s v="Technical Degree"/>
    <n v="1"/>
    <x v="200"/>
    <n v="3"/>
    <s v="Male"/>
    <n v="60"/>
    <n v="2"/>
    <n v="2"/>
    <x v="3"/>
    <x v="3"/>
    <s v="Married"/>
    <n v="4298"/>
    <n v="9679"/>
    <n v="5"/>
    <s v="Y"/>
    <x v="1"/>
    <n v="19"/>
    <n v="3"/>
    <n v="3"/>
    <n v="80"/>
    <n v="1"/>
    <n v="6"/>
    <n v="1"/>
    <x v="1"/>
    <n v="2"/>
    <n v="2"/>
    <n v="2"/>
    <n v="0"/>
    <x v="2"/>
    <x v="0"/>
  </r>
  <r>
    <n v="49"/>
    <x v="1"/>
    <s v="Non-Travel"/>
    <n v="1002"/>
    <x v="1"/>
    <n v="18"/>
    <n v="4"/>
    <s v="Life Sciences"/>
    <n v="1"/>
    <x v="201"/>
    <n v="4"/>
    <s v="Male"/>
    <n v="92"/>
    <n v="3"/>
    <n v="2"/>
    <x v="3"/>
    <x v="0"/>
    <s v="Divorced"/>
    <n v="6804"/>
    <n v="23793"/>
    <n v="1"/>
    <s v="Y"/>
    <x v="0"/>
    <n v="15"/>
    <n v="3"/>
    <n v="1"/>
    <n v="80"/>
    <n v="2"/>
    <n v="7"/>
    <n v="0"/>
    <x v="1"/>
    <n v="7"/>
    <n v="7"/>
    <n v="1"/>
    <n v="7"/>
    <x v="0"/>
    <x v="0"/>
  </r>
  <r>
    <n v="34"/>
    <x v="1"/>
    <s v="Travel_Frequently"/>
    <n v="878"/>
    <x v="1"/>
    <n v="10"/>
    <n v="4"/>
    <s v="Medical"/>
    <n v="1"/>
    <x v="202"/>
    <n v="4"/>
    <s v="Male"/>
    <n v="43"/>
    <n v="3"/>
    <n v="1"/>
    <x v="1"/>
    <x v="2"/>
    <s v="Divorced"/>
    <n v="3815"/>
    <n v="5972"/>
    <n v="1"/>
    <s v="Y"/>
    <x v="0"/>
    <n v="17"/>
    <n v="3"/>
    <n v="4"/>
    <n v="80"/>
    <n v="1"/>
    <n v="5"/>
    <n v="4"/>
    <x v="3"/>
    <n v="5"/>
    <n v="3"/>
    <n v="2"/>
    <n v="0"/>
    <x v="1"/>
    <x v="1"/>
  </r>
  <r>
    <n v="40"/>
    <x v="1"/>
    <s v="Travel_Rarely"/>
    <n v="905"/>
    <x v="1"/>
    <n v="19"/>
    <n v="2"/>
    <s v="Medical"/>
    <n v="1"/>
    <x v="203"/>
    <n v="3"/>
    <s v="Male"/>
    <n v="99"/>
    <n v="3"/>
    <n v="2"/>
    <x v="2"/>
    <x v="0"/>
    <s v="Married"/>
    <n v="2741"/>
    <n v="16523"/>
    <n v="8"/>
    <s v="Y"/>
    <x v="0"/>
    <n v="15"/>
    <n v="3"/>
    <n v="3"/>
    <n v="80"/>
    <n v="1"/>
    <n v="15"/>
    <n v="2"/>
    <x v="3"/>
    <n v="7"/>
    <n v="2"/>
    <n v="3"/>
    <n v="7"/>
    <x v="1"/>
    <x v="1"/>
  </r>
  <r>
    <n v="38"/>
    <x v="0"/>
    <s v="Travel_Rarely"/>
    <n v="1180"/>
    <x v="1"/>
    <n v="29"/>
    <n v="1"/>
    <s v="Medical"/>
    <n v="1"/>
    <x v="204"/>
    <n v="2"/>
    <s v="Male"/>
    <n v="70"/>
    <n v="3"/>
    <n v="2"/>
    <x v="4"/>
    <x v="3"/>
    <s v="Married"/>
    <n v="6673"/>
    <n v="11354"/>
    <n v="7"/>
    <s v="Y"/>
    <x v="0"/>
    <n v="19"/>
    <n v="3"/>
    <n v="2"/>
    <n v="80"/>
    <n v="0"/>
    <n v="17"/>
    <n v="2"/>
    <x v="1"/>
    <n v="1"/>
    <n v="0"/>
    <n v="0"/>
    <n v="0"/>
    <x v="1"/>
    <x v="0"/>
  </r>
  <r>
    <n v="29"/>
    <x v="0"/>
    <s v="Travel_Rarely"/>
    <n v="121"/>
    <x v="0"/>
    <n v="27"/>
    <n v="3"/>
    <s v="Marketing"/>
    <n v="1"/>
    <x v="205"/>
    <n v="2"/>
    <s v="Female"/>
    <n v="35"/>
    <n v="3"/>
    <n v="3"/>
    <x v="0"/>
    <x v="0"/>
    <s v="Married"/>
    <n v="7639"/>
    <n v="24525"/>
    <n v="1"/>
    <s v="Y"/>
    <x v="1"/>
    <n v="22"/>
    <n v="4"/>
    <n v="4"/>
    <n v="80"/>
    <n v="3"/>
    <n v="10"/>
    <n v="3"/>
    <x v="2"/>
    <n v="10"/>
    <n v="4"/>
    <n v="1"/>
    <n v="9"/>
    <x v="2"/>
    <x v="2"/>
  </r>
  <r>
    <n v="22"/>
    <x v="1"/>
    <s v="Travel_Rarely"/>
    <n v="1136"/>
    <x v="1"/>
    <n v="5"/>
    <n v="3"/>
    <s v="Life Sciences"/>
    <n v="1"/>
    <x v="206"/>
    <n v="4"/>
    <s v="Male"/>
    <n v="60"/>
    <n v="4"/>
    <n v="1"/>
    <x v="1"/>
    <x v="1"/>
    <s v="Divorced"/>
    <n v="2328"/>
    <n v="12392"/>
    <n v="1"/>
    <s v="Y"/>
    <x v="0"/>
    <n v="16"/>
    <n v="3"/>
    <n v="1"/>
    <n v="80"/>
    <n v="1"/>
    <n v="4"/>
    <n v="2"/>
    <x v="2"/>
    <n v="4"/>
    <n v="2"/>
    <n v="2"/>
    <n v="2"/>
    <x v="2"/>
    <x v="1"/>
  </r>
  <r>
    <n v="36"/>
    <x v="1"/>
    <s v="Travel_Frequently"/>
    <n v="635"/>
    <x v="1"/>
    <n v="18"/>
    <n v="1"/>
    <s v="Medical"/>
    <n v="1"/>
    <x v="207"/>
    <n v="2"/>
    <s v="Female"/>
    <n v="73"/>
    <n v="3"/>
    <n v="1"/>
    <x v="2"/>
    <x v="0"/>
    <s v="Single"/>
    <n v="2153"/>
    <n v="7703"/>
    <n v="1"/>
    <s v="Y"/>
    <x v="1"/>
    <n v="13"/>
    <n v="3"/>
    <n v="1"/>
    <n v="80"/>
    <n v="0"/>
    <n v="8"/>
    <n v="2"/>
    <x v="1"/>
    <n v="8"/>
    <n v="1"/>
    <n v="1"/>
    <n v="7"/>
    <x v="1"/>
    <x v="1"/>
  </r>
  <r>
    <n v="40"/>
    <x v="1"/>
    <s v="Non-Travel"/>
    <n v="1151"/>
    <x v="1"/>
    <n v="9"/>
    <n v="5"/>
    <s v="Life Sciences"/>
    <n v="1"/>
    <x v="208"/>
    <n v="4"/>
    <s v="Male"/>
    <n v="63"/>
    <n v="2"/>
    <n v="2"/>
    <x v="4"/>
    <x v="0"/>
    <s v="Married"/>
    <n v="4876"/>
    <n v="14242"/>
    <n v="9"/>
    <s v="Y"/>
    <x v="1"/>
    <n v="14"/>
    <n v="3"/>
    <n v="4"/>
    <n v="80"/>
    <n v="1"/>
    <n v="5"/>
    <n v="5"/>
    <x v="0"/>
    <n v="3"/>
    <n v="2"/>
    <n v="0"/>
    <n v="2"/>
    <x v="1"/>
    <x v="0"/>
  </r>
  <r>
    <n v="46"/>
    <x v="1"/>
    <s v="Travel_Rarely"/>
    <n v="644"/>
    <x v="1"/>
    <n v="1"/>
    <n v="4"/>
    <s v="Medical"/>
    <n v="1"/>
    <x v="209"/>
    <n v="4"/>
    <s v="Male"/>
    <n v="97"/>
    <n v="3"/>
    <n v="3"/>
    <x v="4"/>
    <x v="3"/>
    <s v="Divorced"/>
    <n v="9396"/>
    <n v="12368"/>
    <n v="7"/>
    <s v="Y"/>
    <x v="1"/>
    <n v="16"/>
    <n v="3"/>
    <n v="3"/>
    <n v="80"/>
    <n v="1"/>
    <n v="17"/>
    <n v="3"/>
    <x v="1"/>
    <n v="4"/>
    <n v="2"/>
    <n v="0"/>
    <n v="3"/>
    <x v="0"/>
    <x v="2"/>
  </r>
  <r>
    <n v="32"/>
    <x v="0"/>
    <s v="Travel_Rarely"/>
    <n v="1045"/>
    <x v="0"/>
    <n v="4"/>
    <n v="4"/>
    <s v="Medical"/>
    <n v="1"/>
    <x v="210"/>
    <n v="4"/>
    <s v="Male"/>
    <n v="32"/>
    <n v="1"/>
    <n v="3"/>
    <x v="0"/>
    <x v="0"/>
    <s v="Married"/>
    <n v="10400"/>
    <n v="25812"/>
    <n v="1"/>
    <s v="Y"/>
    <x v="1"/>
    <n v="11"/>
    <n v="3"/>
    <n v="3"/>
    <n v="80"/>
    <n v="0"/>
    <n v="14"/>
    <n v="2"/>
    <x v="2"/>
    <n v="14"/>
    <n v="8"/>
    <n v="9"/>
    <n v="8"/>
    <x v="1"/>
    <x v="2"/>
  </r>
  <r>
    <n v="30"/>
    <x v="1"/>
    <s v="Non-Travel"/>
    <n v="829"/>
    <x v="1"/>
    <n v="1"/>
    <n v="1"/>
    <s v="Life Sciences"/>
    <n v="1"/>
    <x v="211"/>
    <n v="3"/>
    <s v="Male"/>
    <n v="88"/>
    <n v="2"/>
    <n v="3"/>
    <x v="3"/>
    <x v="2"/>
    <s v="Single"/>
    <n v="8474"/>
    <n v="20925"/>
    <n v="1"/>
    <s v="Y"/>
    <x v="1"/>
    <n v="22"/>
    <n v="4"/>
    <n v="3"/>
    <n v="80"/>
    <n v="0"/>
    <n v="12"/>
    <n v="2"/>
    <x v="1"/>
    <n v="11"/>
    <n v="8"/>
    <n v="5"/>
    <n v="8"/>
    <x v="1"/>
    <x v="2"/>
  </r>
  <r>
    <n v="27"/>
    <x v="1"/>
    <s v="Travel_Frequently"/>
    <n v="1242"/>
    <x v="0"/>
    <n v="20"/>
    <n v="3"/>
    <s v="Life Sciences"/>
    <n v="1"/>
    <x v="212"/>
    <n v="4"/>
    <s v="Female"/>
    <n v="90"/>
    <n v="3"/>
    <n v="2"/>
    <x v="0"/>
    <x v="2"/>
    <s v="Single"/>
    <n v="9981"/>
    <n v="12916"/>
    <n v="1"/>
    <s v="Y"/>
    <x v="1"/>
    <n v="14"/>
    <n v="3"/>
    <n v="4"/>
    <n v="80"/>
    <n v="0"/>
    <n v="7"/>
    <n v="2"/>
    <x v="1"/>
    <n v="7"/>
    <n v="7"/>
    <n v="0"/>
    <n v="7"/>
    <x v="2"/>
    <x v="2"/>
  </r>
  <r>
    <n v="51"/>
    <x v="1"/>
    <s v="Travel_Rarely"/>
    <n v="1469"/>
    <x v="1"/>
    <n v="8"/>
    <n v="4"/>
    <s v="Life Sciences"/>
    <n v="1"/>
    <x v="213"/>
    <n v="2"/>
    <s v="Male"/>
    <n v="81"/>
    <n v="2"/>
    <n v="3"/>
    <x v="7"/>
    <x v="1"/>
    <s v="Married"/>
    <n v="12490"/>
    <n v="15736"/>
    <n v="5"/>
    <s v="Y"/>
    <x v="1"/>
    <n v="16"/>
    <n v="3"/>
    <n v="4"/>
    <n v="80"/>
    <n v="2"/>
    <n v="16"/>
    <n v="5"/>
    <x v="0"/>
    <n v="10"/>
    <n v="9"/>
    <n v="4"/>
    <n v="7"/>
    <x v="3"/>
    <x v="2"/>
  </r>
  <r>
    <n v="30"/>
    <x v="0"/>
    <s v="Travel_Rarely"/>
    <n v="1005"/>
    <x v="1"/>
    <n v="3"/>
    <n v="3"/>
    <s v="Technical Degree"/>
    <n v="1"/>
    <x v="214"/>
    <n v="4"/>
    <s v="Female"/>
    <n v="88"/>
    <n v="3"/>
    <n v="1"/>
    <x v="1"/>
    <x v="3"/>
    <s v="Single"/>
    <n v="2657"/>
    <n v="8556"/>
    <n v="5"/>
    <s v="Y"/>
    <x v="0"/>
    <n v="11"/>
    <n v="3"/>
    <n v="3"/>
    <n v="80"/>
    <n v="0"/>
    <n v="8"/>
    <n v="5"/>
    <x v="1"/>
    <n v="5"/>
    <n v="2"/>
    <n v="0"/>
    <n v="4"/>
    <x v="1"/>
    <x v="1"/>
  </r>
  <r>
    <n v="41"/>
    <x v="1"/>
    <s v="Travel_Rarely"/>
    <n v="896"/>
    <x v="0"/>
    <n v="6"/>
    <n v="3"/>
    <s v="Life Sciences"/>
    <n v="1"/>
    <x v="215"/>
    <n v="4"/>
    <s v="Female"/>
    <n v="75"/>
    <n v="3"/>
    <n v="3"/>
    <x v="5"/>
    <x v="0"/>
    <s v="Single"/>
    <n v="13591"/>
    <n v="14674"/>
    <n v="3"/>
    <s v="Y"/>
    <x v="0"/>
    <n v="18"/>
    <n v="3"/>
    <n v="3"/>
    <n v="80"/>
    <n v="0"/>
    <n v="16"/>
    <n v="3"/>
    <x v="1"/>
    <n v="1"/>
    <n v="0"/>
    <n v="0"/>
    <n v="0"/>
    <x v="0"/>
    <x v="2"/>
  </r>
  <r>
    <n v="30"/>
    <x v="0"/>
    <s v="Travel_Frequently"/>
    <n v="334"/>
    <x v="0"/>
    <n v="26"/>
    <n v="4"/>
    <s v="Marketing"/>
    <n v="1"/>
    <x v="216"/>
    <n v="3"/>
    <s v="Female"/>
    <n v="52"/>
    <n v="2"/>
    <n v="2"/>
    <x v="0"/>
    <x v="3"/>
    <s v="Single"/>
    <n v="6696"/>
    <n v="22967"/>
    <n v="5"/>
    <s v="Y"/>
    <x v="1"/>
    <n v="15"/>
    <n v="3"/>
    <n v="3"/>
    <n v="80"/>
    <n v="0"/>
    <n v="9"/>
    <n v="5"/>
    <x v="2"/>
    <n v="6"/>
    <n v="3"/>
    <n v="0"/>
    <n v="1"/>
    <x v="1"/>
    <x v="0"/>
  </r>
  <r>
    <n v="29"/>
    <x v="0"/>
    <s v="Travel_Rarely"/>
    <n v="992"/>
    <x v="1"/>
    <n v="1"/>
    <n v="3"/>
    <s v="Technical Degree"/>
    <n v="1"/>
    <x v="217"/>
    <n v="3"/>
    <s v="Male"/>
    <n v="85"/>
    <n v="3"/>
    <n v="1"/>
    <x v="1"/>
    <x v="2"/>
    <s v="Single"/>
    <n v="2058"/>
    <n v="19757"/>
    <n v="0"/>
    <s v="Y"/>
    <x v="1"/>
    <n v="14"/>
    <n v="3"/>
    <n v="4"/>
    <n v="80"/>
    <n v="0"/>
    <n v="7"/>
    <n v="1"/>
    <x v="2"/>
    <n v="6"/>
    <n v="2"/>
    <n v="1"/>
    <n v="5"/>
    <x v="2"/>
    <x v="1"/>
  </r>
  <r>
    <n v="45"/>
    <x v="1"/>
    <s v="Non-Travel"/>
    <n v="1052"/>
    <x v="0"/>
    <n v="6"/>
    <n v="3"/>
    <s v="Medical"/>
    <n v="1"/>
    <x v="218"/>
    <n v="4"/>
    <s v="Female"/>
    <n v="57"/>
    <n v="2"/>
    <n v="3"/>
    <x v="0"/>
    <x v="0"/>
    <s v="Single"/>
    <n v="8865"/>
    <n v="16840"/>
    <n v="6"/>
    <s v="Y"/>
    <x v="1"/>
    <n v="12"/>
    <n v="3"/>
    <n v="4"/>
    <n v="80"/>
    <n v="0"/>
    <n v="23"/>
    <n v="2"/>
    <x v="1"/>
    <n v="19"/>
    <n v="7"/>
    <n v="12"/>
    <n v="8"/>
    <x v="0"/>
    <x v="2"/>
  </r>
  <r>
    <n v="54"/>
    <x v="1"/>
    <s v="Travel_Rarely"/>
    <n v="1147"/>
    <x v="0"/>
    <n v="3"/>
    <n v="3"/>
    <s v="Marketing"/>
    <n v="1"/>
    <x v="219"/>
    <n v="4"/>
    <s v="Female"/>
    <n v="52"/>
    <n v="3"/>
    <n v="2"/>
    <x v="0"/>
    <x v="3"/>
    <s v="Married"/>
    <n v="5940"/>
    <n v="17011"/>
    <n v="2"/>
    <s v="Y"/>
    <x v="1"/>
    <n v="14"/>
    <n v="3"/>
    <n v="4"/>
    <n v="80"/>
    <n v="1"/>
    <n v="16"/>
    <n v="4"/>
    <x v="1"/>
    <n v="6"/>
    <n v="2"/>
    <n v="0"/>
    <n v="5"/>
    <x v="3"/>
    <x v="0"/>
  </r>
  <r>
    <n v="36"/>
    <x v="1"/>
    <s v="Travel_Rarely"/>
    <n v="1396"/>
    <x v="1"/>
    <n v="5"/>
    <n v="2"/>
    <s v="Life Sciences"/>
    <n v="1"/>
    <x v="220"/>
    <n v="4"/>
    <s v="Male"/>
    <n v="62"/>
    <n v="3"/>
    <n v="2"/>
    <x v="2"/>
    <x v="1"/>
    <s v="Single"/>
    <n v="5914"/>
    <n v="9945"/>
    <n v="8"/>
    <s v="Y"/>
    <x v="1"/>
    <n v="16"/>
    <n v="3"/>
    <n v="4"/>
    <n v="80"/>
    <n v="0"/>
    <n v="16"/>
    <n v="3"/>
    <x v="3"/>
    <n v="13"/>
    <n v="11"/>
    <n v="3"/>
    <n v="7"/>
    <x v="1"/>
    <x v="0"/>
  </r>
  <r>
    <n v="33"/>
    <x v="1"/>
    <s v="Travel_Rarely"/>
    <n v="147"/>
    <x v="1"/>
    <n v="4"/>
    <n v="4"/>
    <s v="Medical"/>
    <n v="1"/>
    <x v="221"/>
    <n v="3"/>
    <s v="Female"/>
    <n v="47"/>
    <n v="2"/>
    <n v="1"/>
    <x v="1"/>
    <x v="1"/>
    <s v="Married"/>
    <n v="2622"/>
    <n v="13248"/>
    <n v="6"/>
    <s v="Y"/>
    <x v="1"/>
    <n v="21"/>
    <n v="4"/>
    <n v="4"/>
    <n v="80"/>
    <n v="0"/>
    <n v="7"/>
    <n v="3"/>
    <x v="1"/>
    <n v="3"/>
    <n v="2"/>
    <n v="1"/>
    <n v="1"/>
    <x v="1"/>
    <x v="1"/>
  </r>
  <r>
    <n v="37"/>
    <x v="1"/>
    <s v="Travel_Frequently"/>
    <n v="663"/>
    <x v="1"/>
    <n v="11"/>
    <n v="3"/>
    <s v="Other"/>
    <n v="1"/>
    <x v="222"/>
    <n v="2"/>
    <s v="Male"/>
    <n v="47"/>
    <n v="3"/>
    <n v="3"/>
    <x v="7"/>
    <x v="0"/>
    <s v="Divorced"/>
    <n v="12185"/>
    <n v="10056"/>
    <n v="1"/>
    <s v="Y"/>
    <x v="0"/>
    <n v="14"/>
    <n v="3"/>
    <n v="3"/>
    <n v="80"/>
    <n v="3"/>
    <n v="10"/>
    <n v="1"/>
    <x v="1"/>
    <n v="10"/>
    <n v="8"/>
    <n v="0"/>
    <n v="7"/>
    <x v="1"/>
    <x v="2"/>
  </r>
  <r>
    <n v="38"/>
    <x v="1"/>
    <s v="Travel_Rarely"/>
    <n v="119"/>
    <x v="0"/>
    <n v="3"/>
    <n v="3"/>
    <s v="Life Sciences"/>
    <n v="1"/>
    <x v="223"/>
    <n v="1"/>
    <s v="Male"/>
    <n v="76"/>
    <n v="3"/>
    <n v="3"/>
    <x v="0"/>
    <x v="2"/>
    <s v="Divorced"/>
    <n v="10609"/>
    <n v="9647"/>
    <n v="0"/>
    <s v="Y"/>
    <x v="1"/>
    <n v="12"/>
    <n v="3"/>
    <n v="3"/>
    <n v="80"/>
    <n v="2"/>
    <n v="17"/>
    <n v="6"/>
    <x v="2"/>
    <n v="16"/>
    <n v="10"/>
    <n v="5"/>
    <n v="13"/>
    <x v="1"/>
    <x v="2"/>
  </r>
  <r>
    <n v="31"/>
    <x v="1"/>
    <s v="Non-Travel"/>
    <n v="979"/>
    <x v="1"/>
    <n v="1"/>
    <n v="4"/>
    <s v="Medical"/>
    <n v="1"/>
    <x v="224"/>
    <n v="3"/>
    <s v="Male"/>
    <n v="90"/>
    <n v="1"/>
    <n v="2"/>
    <x v="3"/>
    <x v="2"/>
    <s v="Married"/>
    <n v="4345"/>
    <n v="4381"/>
    <n v="0"/>
    <s v="Y"/>
    <x v="1"/>
    <n v="12"/>
    <n v="3"/>
    <n v="4"/>
    <n v="80"/>
    <n v="1"/>
    <n v="6"/>
    <n v="2"/>
    <x v="1"/>
    <n v="5"/>
    <n v="4"/>
    <n v="1"/>
    <n v="4"/>
    <x v="1"/>
    <x v="0"/>
  </r>
  <r>
    <n v="59"/>
    <x v="1"/>
    <s v="Travel_Rarely"/>
    <n v="142"/>
    <x v="1"/>
    <n v="3"/>
    <n v="3"/>
    <s v="Life Sciences"/>
    <n v="1"/>
    <x v="225"/>
    <n v="3"/>
    <s v="Male"/>
    <n v="70"/>
    <n v="2"/>
    <n v="1"/>
    <x v="1"/>
    <x v="0"/>
    <s v="Married"/>
    <n v="2177"/>
    <n v="8456"/>
    <n v="3"/>
    <s v="Y"/>
    <x v="1"/>
    <n v="17"/>
    <n v="3"/>
    <n v="1"/>
    <n v="80"/>
    <n v="1"/>
    <n v="7"/>
    <n v="6"/>
    <x v="1"/>
    <n v="1"/>
    <n v="0"/>
    <n v="0"/>
    <n v="0"/>
    <x v="3"/>
    <x v="1"/>
  </r>
  <r>
    <n v="37"/>
    <x v="1"/>
    <s v="Travel_Frequently"/>
    <n v="319"/>
    <x v="0"/>
    <n v="4"/>
    <n v="4"/>
    <s v="Marketing"/>
    <n v="1"/>
    <x v="226"/>
    <n v="1"/>
    <s v="Male"/>
    <n v="41"/>
    <n v="3"/>
    <n v="1"/>
    <x v="6"/>
    <x v="0"/>
    <s v="Divorced"/>
    <n v="2793"/>
    <n v="2539"/>
    <n v="4"/>
    <s v="Y"/>
    <x v="1"/>
    <n v="17"/>
    <n v="3"/>
    <n v="3"/>
    <n v="80"/>
    <n v="1"/>
    <n v="13"/>
    <n v="2"/>
    <x v="1"/>
    <n v="9"/>
    <n v="8"/>
    <n v="5"/>
    <n v="8"/>
    <x v="1"/>
    <x v="1"/>
  </r>
  <r>
    <n v="29"/>
    <x v="1"/>
    <s v="Travel_Frequently"/>
    <n v="1413"/>
    <x v="0"/>
    <n v="1"/>
    <n v="1"/>
    <s v="Medical"/>
    <n v="1"/>
    <x v="227"/>
    <n v="2"/>
    <s v="Female"/>
    <n v="42"/>
    <n v="3"/>
    <n v="3"/>
    <x v="0"/>
    <x v="0"/>
    <s v="Married"/>
    <n v="7918"/>
    <n v="6599"/>
    <n v="1"/>
    <s v="Y"/>
    <x v="1"/>
    <n v="14"/>
    <n v="3"/>
    <n v="4"/>
    <n v="80"/>
    <n v="1"/>
    <n v="11"/>
    <n v="5"/>
    <x v="1"/>
    <n v="11"/>
    <n v="10"/>
    <n v="4"/>
    <n v="1"/>
    <x v="2"/>
    <x v="2"/>
  </r>
  <r>
    <n v="35"/>
    <x v="1"/>
    <s v="Travel_Frequently"/>
    <n v="944"/>
    <x v="0"/>
    <n v="1"/>
    <n v="3"/>
    <s v="Marketing"/>
    <n v="1"/>
    <x v="228"/>
    <n v="3"/>
    <s v="Female"/>
    <n v="92"/>
    <n v="3"/>
    <n v="3"/>
    <x v="0"/>
    <x v="2"/>
    <s v="Single"/>
    <n v="8789"/>
    <n v="9096"/>
    <n v="1"/>
    <s v="Y"/>
    <x v="1"/>
    <n v="14"/>
    <n v="3"/>
    <n v="1"/>
    <n v="80"/>
    <n v="0"/>
    <n v="10"/>
    <n v="3"/>
    <x v="3"/>
    <n v="10"/>
    <n v="7"/>
    <n v="0"/>
    <n v="8"/>
    <x v="1"/>
    <x v="2"/>
  </r>
  <r>
    <n v="29"/>
    <x v="0"/>
    <s v="Travel_Rarely"/>
    <n v="896"/>
    <x v="1"/>
    <n v="18"/>
    <n v="1"/>
    <s v="Medical"/>
    <n v="1"/>
    <x v="229"/>
    <n v="3"/>
    <s v="Male"/>
    <n v="86"/>
    <n v="2"/>
    <n v="1"/>
    <x v="1"/>
    <x v="0"/>
    <s v="Single"/>
    <n v="2389"/>
    <n v="14961"/>
    <n v="1"/>
    <s v="Y"/>
    <x v="0"/>
    <n v="13"/>
    <n v="3"/>
    <n v="3"/>
    <n v="80"/>
    <n v="0"/>
    <n v="4"/>
    <n v="3"/>
    <x v="2"/>
    <n v="4"/>
    <n v="3"/>
    <n v="0"/>
    <n v="1"/>
    <x v="2"/>
    <x v="1"/>
  </r>
  <r>
    <n v="52"/>
    <x v="1"/>
    <s v="Travel_Rarely"/>
    <n v="1323"/>
    <x v="1"/>
    <n v="2"/>
    <n v="3"/>
    <s v="Life Sciences"/>
    <n v="1"/>
    <x v="230"/>
    <n v="3"/>
    <s v="Female"/>
    <n v="89"/>
    <n v="2"/>
    <n v="1"/>
    <x v="2"/>
    <x v="0"/>
    <s v="Single"/>
    <n v="3212"/>
    <n v="3300"/>
    <n v="7"/>
    <s v="Y"/>
    <x v="1"/>
    <n v="15"/>
    <n v="3"/>
    <n v="2"/>
    <n v="80"/>
    <n v="0"/>
    <n v="6"/>
    <n v="3"/>
    <x v="2"/>
    <n v="2"/>
    <n v="2"/>
    <n v="2"/>
    <n v="2"/>
    <x v="3"/>
    <x v="1"/>
  </r>
  <r>
    <n v="42"/>
    <x v="1"/>
    <s v="Travel_Rarely"/>
    <n v="532"/>
    <x v="1"/>
    <n v="4"/>
    <n v="2"/>
    <s v="Technical Degree"/>
    <n v="1"/>
    <x v="231"/>
    <n v="3"/>
    <s v="Male"/>
    <n v="58"/>
    <n v="3"/>
    <n v="5"/>
    <x v="5"/>
    <x v="0"/>
    <s v="Married"/>
    <n v="19232"/>
    <n v="4933"/>
    <n v="1"/>
    <s v="Y"/>
    <x v="1"/>
    <n v="11"/>
    <n v="3"/>
    <n v="4"/>
    <n v="80"/>
    <n v="0"/>
    <n v="22"/>
    <n v="3"/>
    <x v="1"/>
    <n v="22"/>
    <n v="17"/>
    <n v="11"/>
    <n v="15"/>
    <x v="0"/>
    <x v="2"/>
  </r>
  <r>
    <n v="59"/>
    <x v="1"/>
    <s v="Travel_Rarely"/>
    <n v="818"/>
    <x v="2"/>
    <n v="6"/>
    <n v="2"/>
    <s v="Medical"/>
    <n v="1"/>
    <x v="232"/>
    <n v="2"/>
    <s v="Male"/>
    <n v="52"/>
    <n v="3"/>
    <n v="1"/>
    <x v="8"/>
    <x v="2"/>
    <s v="Married"/>
    <n v="2267"/>
    <n v="25657"/>
    <n v="8"/>
    <s v="Y"/>
    <x v="1"/>
    <n v="17"/>
    <n v="3"/>
    <n v="4"/>
    <n v="80"/>
    <n v="0"/>
    <n v="7"/>
    <n v="2"/>
    <x v="2"/>
    <n v="2"/>
    <n v="2"/>
    <n v="2"/>
    <n v="2"/>
    <x v="3"/>
    <x v="1"/>
  </r>
  <r>
    <n v="50"/>
    <x v="1"/>
    <s v="Travel_Rarely"/>
    <n v="854"/>
    <x v="0"/>
    <n v="1"/>
    <n v="4"/>
    <s v="Medical"/>
    <n v="1"/>
    <x v="233"/>
    <n v="4"/>
    <s v="Female"/>
    <n v="68"/>
    <n v="3"/>
    <n v="5"/>
    <x v="5"/>
    <x v="0"/>
    <s v="Divorced"/>
    <n v="19517"/>
    <n v="24118"/>
    <n v="3"/>
    <s v="Y"/>
    <x v="1"/>
    <n v="11"/>
    <n v="3"/>
    <n v="3"/>
    <n v="80"/>
    <n v="1"/>
    <n v="32"/>
    <n v="3"/>
    <x v="2"/>
    <n v="7"/>
    <n v="0"/>
    <n v="0"/>
    <n v="6"/>
    <x v="0"/>
    <x v="2"/>
  </r>
  <r>
    <n v="33"/>
    <x v="0"/>
    <s v="Travel_Rarely"/>
    <n v="813"/>
    <x v="1"/>
    <n v="14"/>
    <n v="3"/>
    <s v="Medical"/>
    <n v="1"/>
    <x v="234"/>
    <n v="3"/>
    <s v="Male"/>
    <n v="58"/>
    <n v="3"/>
    <n v="1"/>
    <x v="2"/>
    <x v="0"/>
    <s v="Married"/>
    <n v="2436"/>
    <n v="22149"/>
    <n v="5"/>
    <s v="Y"/>
    <x v="0"/>
    <n v="13"/>
    <n v="3"/>
    <n v="3"/>
    <n v="80"/>
    <n v="1"/>
    <n v="8"/>
    <n v="2"/>
    <x v="0"/>
    <n v="5"/>
    <n v="4"/>
    <n v="0"/>
    <n v="4"/>
    <x v="1"/>
    <x v="1"/>
  </r>
  <r>
    <n v="43"/>
    <x v="1"/>
    <s v="Travel_Rarely"/>
    <n v="1034"/>
    <x v="0"/>
    <n v="16"/>
    <n v="3"/>
    <s v="Marketing"/>
    <n v="1"/>
    <x v="235"/>
    <n v="4"/>
    <s v="Female"/>
    <n v="80"/>
    <n v="3"/>
    <n v="4"/>
    <x v="5"/>
    <x v="0"/>
    <s v="Married"/>
    <n v="16064"/>
    <n v="7744"/>
    <n v="5"/>
    <s v="Y"/>
    <x v="0"/>
    <n v="22"/>
    <n v="4"/>
    <n v="3"/>
    <n v="80"/>
    <n v="1"/>
    <n v="22"/>
    <n v="3"/>
    <x v="1"/>
    <n v="17"/>
    <n v="13"/>
    <n v="1"/>
    <n v="9"/>
    <x v="0"/>
    <x v="2"/>
  </r>
  <r>
    <n v="33"/>
    <x v="0"/>
    <s v="Travel_Rarely"/>
    <n v="465"/>
    <x v="1"/>
    <n v="2"/>
    <n v="2"/>
    <s v="Life Sciences"/>
    <n v="1"/>
    <x v="236"/>
    <n v="1"/>
    <s v="Female"/>
    <n v="39"/>
    <n v="3"/>
    <n v="1"/>
    <x v="2"/>
    <x v="3"/>
    <s v="Married"/>
    <n v="2707"/>
    <n v="21509"/>
    <n v="7"/>
    <s v="Y"/>
    <x v="1"/>
    <n v="20"/>
    <n v="4"/>
    <n v="1"/>
    <n v="80"/>
    <n v="0"/>
    <n v="13"/>
    <n v="3"/>
    <x v="3"/>
    <n v="9"/>
    <n v="7"/>
    <n v="1"/>
    <n v="7"/>
    <x v="1"/>
    <x v="1"/>
  </r>
  <r>
    <n v="52"/>
    <x v="1"/>
    <s v="Non-Travel"/>
    <n v="771"/>
    <x v="0"/>
    <n v="2"/>
    <n v="4"/>
    <s v="Life Sciences"/>
    <n v="1"/>
    <x v="237"/>
    <n v="1"/>
    <s v="Male"/>
    <n v="79"/>
    <n v="2"/>
    <n v="5"/>
    <x v="5"/>
    <x v="2"/>
    <s v="Single"/>
    <n v="19068"/>
    <n v="21030"/>
    <n v="1"/>
    <s v="Y"/>
    <x v="0"/>
    <n v="18"/>
    <n v="3"/>
    <n v="4"/>
    <n v="80"/>
    <n v="0"/>
    <n v="33"/>
    <n v="2"/>
    <x v="3"/>
    <n v="33"/>
    <n v="7"/>
    <n v="15"/>
    <n v="12"/>
    <x v="3"/>
    <x v="2"/>
  </r>
  <r>
    <n v="32"/>
    <x v="1"/>
    <s v="Travel_Rarely"/>
    <n v="1401"/>
    <x v="0"/>
    <n v="4"/>
    <n v="2"/>
    <s v="Life Sciences"/>
    <n v="1"/>
    <x v="238"/>
    <n v="3"/>
    <s v="Female"/>
    <n v="56"/>
    <n v="3"/>
    <n v="1"/>
    <x v="6"/>
    <x v="1"/>
    <s v="Married"/>
    <n v="3931"/>
    <n v="20990"/>
    <n v="2"/>
    <s v="Y"/>
    <x v="1"/>
    <n v="11"/>
    <n v="3"/>
    <n v="1"/>
    <n v="80"/>
    <n v="1"/>
    <n v="6"/>
    <n v="5"/>
    <x v="1"/>
    <n v="4"/>
    <n v="3"/>
    <n v="1"/>
    <n v="2"/>
    <x v="1"/>
    <x v="1"/>
  </r>
  <r>
    <n v="32"/>
    <x v="0"/>
    <s v="Travel_Rarely"/>
    <n v="515"/>
    <x v="1"/>
    <n v="1"/>
    <n v="3"/>
    <s v="Life Sciences"/>
    <n v="1"/>
    <x v="239"/>
    <n v="4"/>
    <s v="Male"/>
    <n v="62"/>
    <n v="2"/>
    <n v="1"/>
    <x v="2"/>
    <x v="2"/>
    <s v="Single"/>
    <n v="3730"/>
    <n v="9571"/>
    <n v="0"/>
    <s v="Y"/>
    <x v="0"/>
    <n v="14"/>
    <n v="3"/>
    <n v="4"/>
    <n v="80"/>
    <n v="0"/>
    <n v="4"/>
    <n v="2"/>
    <x v="0"/>
    <n v="3"/>
    <n v="2"/>
    <n v="1"/>
    <n v="2"/>
    <x v="1"/>
    <x v="1"/>
  </r>
  <r>
    <n v="39"/>
    <x v="1"/>
    <s v="Travel_Rarely"/>
    <n v="1431"/>
    <x v="1"/>
    <n v="1"/>
    <n v="4"/>
    <s v="Medical"/>
    <n v="1"/>
    <x v="240"/>
    <n v="3"/>
    <s v="Female"/>
    <n v="96"/>
    <n v="3"/>
    <n v="1"/>
    <x v="2"/>
    <x v="2"/>
    <s v="Divorced"/>
    <n v="2232"/>
    <n v="15417"/>
    <n v="7"/>
    <s v="Y"/>
    <x v="1"/>
    <n v="14"/>
    <n v="3"/>
    <n v="3"/>
    <n v="80"/>
    <n v="3"/>
    <n v="7"/>
    <n v="1"/>
    <x v="1"/>
    <n v="3"/>
    <n v="2"/>
    <n v="1"/>
    <n v="2"/>
    <x v="1"/>
    <x v="1"/>
  </r>
  <r>
    <n v="32"/>
    <x v="1"/>
    <s v="Non-Travel"/>
    <n v="976"/>
    <x v="0"/>
    <n v="26"/>
    <n v="4"/>
    <s v="Marketing"/>
    <n v="1"/>
    <x v="241"/>
    <n v="3"/>
    <s v="Male"/>
    <n v="100"/>
    <n v="3"/>
    <n v="2"/>
    <x v="0"/>
    <x v="0"/>
    <s v="Married"/>
    <n v="4465"/>
    <n v="12069"/>
    <n v="0"/>
    <s v="Y"/>
    <x v="1"/>
    <n v="18"/>
    <n v="3"/>
    <n v="1"/>
    <n v="80"/>
    <n v="0"/>
    <n v="4"/>
    <n v="2"/>
    <x v="1"/>
    <n v="3"/>
    <n v="2"/>
    <n v="2"/>
    <n v="2"/>
    <x v="1"/>
    <x v="0"/>
  </r>
  <r>
    <n v="41"/>
    <x v="1"/>
    <s v="Travel_Rarely"/>
    <n v="1411"/>
    <x v="1"/>
    <n v="19"/>
    <n v="2"/>
    <s v="Life Sciences"/>
    <n v="1"/>
    <x v="242"/>
    <n v="3"/>
    <s v="Male"/>
    <n v="36"/>
    <n v="3"/>
    <n v="2"/>
    <x v="1"/>
    <x v="3"/>
    <s v="Divorced"/>
    <n v="3072"/>
    <n v="19877"/>
    <n v="2"/>
    <s v="Y"/>
    <x v="1"/>
    <n v="16"/>
    <n v="3"/>
    <n v="1"/>
    <n v="80"/>
    <n v="2"/>
    <n v="17"/>
    <n v="2"/>
    <x v="2"/>
    <n v="1"/>
    <n v="0"/>
    <n v="0"/>
    <n v="0"/>
    <x v="0"/>
    <x v="1"/>
  </r>
  <r>
    <n v="40"/>
    <x v="1"/>
    <s v="Travel_Rarely"/>
    <n v="1300"/>
    <x v="1"/>
    <n v="24"/>
    <n v="2"/>
    <s v="Technical Degree"/>
    <n v="1"/>
    <x v="243"/>
    <n v="1"/>
    <s v="Male"/>
    <n v="62"/>
    <n v="3"/>
    <n v="2"/>
    <x v="1"/>
    <x v="0"/>
    <s v="Divorced"/>
    <n v="3319"/>
    <n v="24447"/>
    <n v="1"/>
    <s v="Y"/>
    <x v="1"/>
    <n v="17"/>
    <n v="3"/>
    <n v="1"/>
    <n v="80"/>
    <n v="2"/>
    <n v="9"/>
    <n v="3"/>
    <x v="1"/>
    <n v="9"/>
    <n v="8"/>
    <n v="4"/>
    <n v="7"/>
    <x v="1"/>
    <x v="1"/>
  </r>
  <r>
    <n v="45"/>
    <x v="1"/>
    <s v="Travel_Rarely"/>
    <n v="252"/>
    <x v="1"/>
    <n v="1"/>
    <n v="3"/>
    <s v="Other"/>
    <n v="1"/>
    <x v="244"/>
    <n v="3"/>
    <s v="Male"/>
    <n v="70"/>
    <n v="4"/>
    <n v="5"/>
    <x v="5"/>
    <x v="0"/>
    <s v="Married"/>
    <n v="19202"/>
    <n v="15970"/>
    <n v="0"/>
    <s v="Y"/>
    <x v="1"/>
    <n v="11"/>
    <n v="3"/>
    <n v="3"/>
    <n v="80"/>
    <n v="1"/>
    <n v="25"/>
    <n v="2"/>
    <x v="1"/>
    <n v="24"/>
    <n v="0"/>
    <n v="1"/>
    <n v="7"/>
    <x v="0"/>
    <x v="2"/>
  </r>
  <r>
    <n v="31"/>
    <x v="1"/>
    <s v="Travel_Frequently"/>
    <n v="1327"/>
    <x v="1"/>
    <n v="3"/>
    <n v="4"/>
    <s v="Medical"/>
    <n v="1"/>
    <x v="245"/>
    <n v="2"/>
    <s v="Male"/>
    <n v="73"/>
    <n v="3"/>
    <n v="3"/>
    <x v="7"/>
    <x v="2"/>
    <s v="Divorced"/>
    <n v="13675"/>
    <n v="13523"/>
    <n v="9"/>
    <s v="Y"/>
    <x v="1"/>
    <n v="12"/>
    <n v="3"/>
    <n v="1"/>
    <n v="80"/>
    <n v="1"/>
    <n v="9"/>
    <n v="3"/>
    <x v="1"/>
    <n v="2"/>
    <n v="2"/>
    <n v="2"/>
    <n v="2"/>
    <x v="1"/>
    <x v="2"/>
  </r>
  <r>
    <n v="33"/>
    <x v="1"/>
    <s v="Travel_Rarely"/>
    <n v="832"/>
    <x v="1"/>
    <n v="5"/>
    <n v="4"/>
    <s v="Life Sciences"/>
    <n v="1"/>
    <x v="246"/>
    <n v="3"/>
    <s v="Female"/>
    <n v="63"/>
    <n v="2"/>
    <n v="1"/>
    <x v="1"/>
    <x v="0"/>
    <s v="Married"/>
    <n v="2911"/>
    <n v="14776"/>
    <n v="1"/>
    <s v="Y"/>
    <x v="1"/>
    <n v="13"/>
    <n v="3"/>
    <n v="3"/>
    <n v="80"/>
    <n v="1"/>
    <n v="2"/>
    <n v="2"/>
    <x v="2"/>
    <n v="2"/>
    <n v="2"/>
    <n v="0"/>
    <n v="2"/>
    <x v="1"/>
    <x v="1"/>
  </r>
  <r>
    <n v="34"/>
    <x v="1"/>
    <s v="Travel_Rarely"/>
    <n v="470"/>
    <x v="1"/>
    <n v="2"/>
    <n v="4"/>
    <s v="Life Sciences"/>
    <n v="1"/>
    <x v="247"/>
    <n v="4"/>
    <s v="Male"/>
    <n v="84"/>
    <n v="2"/>
    <n v="2"/>
    <x v="3"/>
    <x v="3"/>
    <s v="Married"/>
    <n v="5957"/>
    <n v="23687"/>
    <n v="6"/>
    <s v="Y"/>
    <x v="1"/>
    <n v="13"/>
    <n v="3"/>
    <n v="2"/>
    <n v="80"/>
    <n v="1"/>
    <n v="13"/>
    <n v="3"/>
    <x v="1"/>
    <n v="11"/>
    <n v="9"/>
    <n v="5"/>
    <n v="9"/>
    <x v="1"/>
    <x v="0"/>
  </r>
  <r>
    <n v="37"/>
    <x v="1"/>
    <s v="Travel_Rarely"/>
    <n v="1017"/>
    <x v="1"/>
    <n v="1"/>
    <n v="2"/>
    <s v="Medical"/>
    <n v="1"/>
    <x v="248"/>
    <n v="3"/>
    <s v="Female"/>
    <n v="83"/>
    <n v="2"/>
    <n v="1"/>
    <x v="1"/>
    <x v="3"/>
    <s v="Married"/>
    <n v="3920"/>
    <n v="18697"/>
    <n v="2"/>
    <s v="Y"/>
    <x v="1"/>
    <n v="14"/>
    <n v="3"/>
    <n v="1"/>
    <n v="80"/>
    <n v="1"/>
    <n v="17"/>
    <n v="2"/>
    <x v="2"/>
    <n v="3"/>
    <n v="1"/>
    <n v="0"/>
    <n v="2"/>
    <x v="1"/>
    <x v="1"/>
  </r>
  <r>
    <n v="45"/>
    <x v="1"/>
    <s v="Travel_Frequently"/>
    <n v="1199"/>
    <x v="1"/>
    <n v="7"/>
    <n v="4"/>
    <s v="Life Sciences"/>
    <n v="1"/>
    <x v="249"/>
    <n v="1"/>
    <s v="Male"/>
    <n v="77"/>
    <n v="4"/>
    <n v="2"/>
    <x v="3"/>
    <x v="2"/>
    <s v="Married"/>
    <n v="6434"/>
    <n v="5118"/>
    <n v="4"/>
    <s v="Y"/>
    <x v="1"/>
    <n v="17"/>
    <n v="3"/>
    <n v="4"/>
    <n v="80"/>
    <n v="1"/>
    <n v="9"/>
    <n v="1"/>
    <x v="1"/>
    <n v="3"/>
    <n v="2"/>
    <n v="0"/>
    <n v="2"/>
    <x v="0"/>
    <x v="0"/>
  </r>
  <r>
    <n v="37"/>
    <x v="0"/>
    <s v="Travel_Frequently"/>
    <n v="504"/>
    <x v="1"/>
    <n v="10"/>
    <n v="3"/>
    <s v="Medical"/>
    <n v="1"/>
    <x v="250"/>
    <n v="1"/>
    <s v="Male"/>
    <n v="61"/>
    <n v="3"/>
    <n v="3"/>
    <x v="3"/>
    <x v="2"/>
    <s v="Divorced"/>
    <n v="10048"/>
    <n v="22573"/>
    <n v="6"/>
    <s v="Y"/>
    <x v="1"/>
    <n v="11"/>
    <n v="3"/>
    <n v="2"/>
    <n v="80"/>
    <n v="2"/>
    <n v="17"/>
    <n v="5"/>
    <x v="1"/>
    <n v="1"/>
    <n v="0"/>
    <n v="0"/>
    <n v="0"/>
    <x v="1"/>
    <x v="2"/>
  </r>
  <r>
    <n v="39"/>
    <x v="1"/>
    <s v="Travel_Frequently"/>
    <n v="505"/>
    <x v="1"/>
    <n v="2"/>
    <n v="4"/>
    <s v="Technical Degree"/>
    <n v="1"/>
    <x v="251"/>
    <n v="3"/>
    <s v="Female"/>
    <n v="64"/>
    <n v="3"/>
    <n v="3"/>
    <x v="4"/>
    <x v="2"/>
    <s v="Single"/>
    <n v="10938"/>
    <n v="6420"/>
    <n v="0"/>
    <s v="Y"/>
    <x v="1"/>
    <n v="25"/>
    <n v="4"/>
    <n v="4"/>
    <n v="80"/>
    <n v="0"/>
    <n v="20"/>
    <n v="1"/>
    <x v="1"/>
    <n v="19"/>
    <n v="6"/>
    <n v="11"/>
    <n v="8"/>
    <x v="1"/>
    <x v="2"/>
  </r>
  <r>
    <n v="29"/>
    <x v="1"/>
    <s v="Travel_Rarely"/>
    <n v="665"/>
    <x v="1"/>
    <n v="15"/>
    <n v="3"/>
    <s v="Life Sciences"/>
    <n v="1"/>
    <x v="252"/>
    <n v="3"/>
    <s v="Male"/>
    <n v="60"/>
    <n v="3"/>
    <n v="1"/>
    <x v="1"/>
    <x v="0"/>
    <s v="Single"/>
    <n v="2340"/>
    <n v="22673"/>
    <n v="1"/>
    <s v="Y"/>
    <x v="1"/>
    <n v="19"/>
    <n v="3"/>
    <n v="1"/>
    <n v="80"/>
    <n v="0"/>
    <n v="6"/>
    <n v="1"/>
    <x v="1"/>
    <n v="6"/>
    <n v="5"/>
    <n v="1"/>
    <n v="5"/>
    <x v="2"/>
    <x v="1"/>
  </r>
  <r>
    <n v="42"/>
    <x v="1"/>
    <s v="Travel_Rarely"/>
    <n v="916"/>
    <x v="1"/>
    <n v="17"/>
    <n v="2"/>
    <s v="Life Sciences"/>
    <n v="1"/>
    <x v="253"/>
    <n v="4"/>
    <s v="Female"/>
    <n v="82"/>
    <n v="4"/>
    <n v="2"/>
    <x v="1"/>
    <x v="3"/>
    <s v="Single"/>
    <n v="6545"/>
    <n v="23016"/>
    <n v="3"/>
    <s v="Y"/>
    <x v="0"/>
    <n v="13"/>
    <n v="3"/>
    <n v="3"/>
    <n v="80"/>
    <n v="0"/>
    <n v="10"/>
    <n v="1"/>
    <x v="1"/>
    <n v="3"/>
    <n v="2"/>
    <n v="0"/>
    <n v="2"/>
    <x v="0"/>
    <x v="0"/>
  </r>
  <r>
    <n v="29"/>
    <x v="1"/>
    <s v="Travel_Rarely"/>
    <n v="1247"/>
    <x v="0"/>
    <n v="20"/>
    <n v="2"/>
    <s v="Marketing"/>
    <n v="1"/>
    <x v="254"/>
    <n v="4"/>
    <s v="Male"/>
    <n v="45"/>
    <n v="3"/>
    <n v="2"/>
    <x v="0"/>
    <x v="0"/>
    <s v="Divorced"/>
    <n v="6931"/>
    <n v="10732"/>
    <n v="2"/>
    <s v="Y"/>
    <x v="1"/>
    <n v="14"/>
    <n v="3"/>
    <n v="4"/>
    <n v="80"/>
    <n v="1"/>
    <n v="10"/>
    <n v="2"/>
    <x v="1"/>
    <n v="3"/>
    <n v="2"/>
    <n v="0"/>
    <n v="2"/>
    <x v="2"/>
    <x v="0"/>
  </r>
  <r>
    <n v="25"/>
    <x v="1"/>
    <s v="Travel_Rarely"/>
    <n v="685"/>
    <x v="1"/>
    <n v="1"/>
    <n v="3"/>
    <s v="Life Sciences"/>
    <n v="1"/>
    <x v="255"/>
    <n v="1"/>
    <s v="Female"/>
    <n v="62"/>
    <n v="3"/>
    <n v="2"/>
    <x v="3"/>
    <x v="2"/>
    <s v="Married"/>
    <n v="4898"/>
    <n v="7505"/>
    <n v="0"/>
    <s v="Y"/>
    <x v="1"/>
    <n v="12"/>
    <n v="3"/>
    <n v="4"/>
    <n v="80"/>
    <n v="2"/>
    <n v="5"/>
    <n v="3"/>
    <x v="1"/>
    <n v="4"/>
    <n v="2"/>
    <n v="1"/>
    <n v="2"/>
    <x v="2"/>
    <x v="0"/>
  </r>
  <r>
    <n v="42"/>
    <x v="1"/>
    <s v="Travel_Rarely"/>
    <n v="269"/>
    <x v="1"/>
    <n v="2"/>
    <n v="3"/>
    <s v="Medical"/>
    <n v="1"/>
    <x v="256"/>
    <n v="4"/>
    <s v="Female"/>
    <n v="56"/>
    <n v="2"/>
    <n v="1"/>
    <x v="2"/>
    <x v="3"/>
    <s v="Divorced"/>
    <n v="2593"/>
    <n v="8007"/>
    <n v="0"/>
    <s v="Y"/>
    <x v="0"/>
    <n v="11"/>
    <n v="3"/>
    <n v="3"/>
    <n v="80"/>
    <n v="1"/>
    <n v="10"/>
    <n v="4"/>
    <x v="1"/>
    <n v="9"/>
    <n v="6"/>
    <n v="7"/>
    <n v="8"/>
    <x v="0"/>
    <x v="1"/>
  </r>
  <r>
    <n v="40"/>
    <x v="1"/>
    <s v="Travel_Rarely"/>
    <n v="1416"/>
    <x v="1"/>
    <n v="2"/>
    <n v="2"/>
    <s v="Medical"/>
    <n v="1"/>
    <x v="257"/>
    <n v="1"/>
    <s v="Male"/>
    <n v="49"/>
    <n v="3"/>
    <n v="5"/>
    <x v="7"/>
    <x v="2"/>
    <s v="Divorced"/>
    <n v="19436"/>
    <n v="5949"/>
    <n v="0"/>
    <s v="Y"/>
    <x v="1"/>
    <n v="19"/>
    <n v="3"/>
    <n v="4"/>
    <n v="80"/>
    <n v="1"/>
    <n v="22"/>
    <n v="5"/>
    <x v="1"/>
    <n v="21"/>
    <n v="7"/>
    <n v="3"/>
    <n v="9"/>
    <x v="1"/>
    <x v="2"/>
  </r>
  <r>
    <n v="51"/>
    <x v="1"/>
    <s v="Travel_Rarely"/>
    <n v="833"/>
    <x v="1"/>
    <n v="1"/>
    <n v="3"/>
    <s v="Life Sciences"/>
    <n v="1"/>
    <x v="258"/>
    <n v="3"/>
    <s v="Male"/>
    <n v="96"/>
    <n v="3"/>
    <n v="1"/>
    <x v="1"/>
    <x v="0"/>
    <s v="Married"/>
    <n v="2723"/>
    <n v="23231"/>
    <n v="1"/>
    <s v="Y"/>
    <x v="1"/>
    <n v="11"/>
    <n v="3"/>
    <n v="2"/>
    <n v="80"/>
    <n v="0"/>
    <n v="1"/>
    <n v="0"/>
    <x v="2"/>
    <n v="1"/>
    <n v="0"/>
    <n v="0"/>
    <n v="0"/>
    <x v="3"/>
    <x v="1"/>
  </r>
  <r>
    <n v="31"/>
    <x v="0"/>
    <s v="Travel_Frequently"/>
    <n v="307"/>
    <x v="1"/>
    <n v="29"/>
    <n v="2"/>
    <s v="Medical"/>
    <n v="1"/>
    <x v="259"/>
    <n v="3"/>
    <s v="Male"/>
    <n v="71"/>
    <n v="2"/>
    <n v="1"/>
    <x v="2"/>
    <x v="1"/>
    <s v="Single"/>
    <n v="3479"/>
    <n v="11652"/>
    <n v="0"/>
    <s v="Y"/>
    <x v="1"/>
    <n v="11"/>
    <n v="3"/>
    <n v="2"/>
    <n v="80"/>
    <n v="0"/>
    <n v="6"/>
    <n v="2"/>
    <x v="3"/>
    <n v="5"/>
    <n v="4"/>
    <n v="1"/>
    <n v="4"/>
    <x v="1"/>
    <x v="1"/>
  </r>
  <r>
    <n v="32"/>
    <x v="1"/>
    <s v="Travel_Frequently"/>
    <n v="1311"/>
    <x v="1"/>
    <n v="7"/>
    <n v="3"/>
    <s v="Life Sciences"/>
    <n v="1"/>
    <x v="260"/>
    <n v="2"/>
    <s v="Male"/>
    <n v="100"/>
    <n v="4"/>
    <n v="1"/>
    <x v="2"/>
    <x v="1"/>
    <s v="Married"/>
    <n v="2794"/>
    <n v="26062"/>
    <n v="1"/>
    <s v="Y"/>
    <x v="1"/>
    <n v="20"/>
    <n v="4"/>
    <n v="3"/>
    <n v="80"/>
    <n v="0"/>
    <n v="5"/>
    <n v="3"/>
    <x v="0"/>
    <n v="5"/>
    <n v="1"/>
    <n v="0"/>
    <n v="3"/>
    <x v="1"/>
    <x v="1"/>
  </r>
  <r>
    <n v="38"/>
    <x v="1"/>
    <s v="Non-Travel"/>
    <n v="1327"/>
    <x v="0"/>
    <n v="2"/>
    <n v="2"/>
    <s v="Life Sciences"/>
    <n v="1"/>
    <x v="261"/>
    <n v="4"/>
    <s v="Male"/>
    <n v="39"/>
    <n v="2"/>
    <n v="2"/>
    <x v="0"/>
    <x v="0"/>
    <s v="Married"/>
    <n v="5249"/>
    <n v="19682"/>
    <n v="3"/>
    <s v="Y"/>
    <x v="1"/>
    <n v="18"/>
    <n v="3"/>
    <n v="4"/>
    <n v="80"/>
    <n v="1"/>
    <n v="13"/>
    <n v="0"/>
    <x v="1"/>
    <n v="8"/>
    <n v="7"/>
    <n v="7"/>
    <n v="5"/>
    <x v="1"/>
    <x v="0"/>
  </r>
  <r>
    <n v="32"/>
    <x v="1"/>
    <s v="Travel_Rarely"/>
    <n v="128"/>
    <x v="1"/>
    <n v="2"/>
    <n v="1"/>
    <s v="Technical Degree"/>
    <n v="1"/>
    <x v="262"/>
    <n v="4"/>
    <s v="Male"/>
    <n v="84"/>
    <n v="2"/>
    <n v="2"/>
    <x v="2"/>
    <x v="3"/>
    <s v="Single"/>
    <n v="2176"/>
    <n v="19737"/>
    <n v="4"/>
    <s v="Y"/>
    <x v="1"/>
    <n v="13"/>
    <n v="3"/>
    <n v="4"/>
    <n v="80"/>
    <n v="0"/>
    <n v="9"/>
    <n v="5"/>
    <x v="1"/>
    <n v="6"/>
    <n v="2"/>
    <n v="0"/>
    <n v="4"/>
    <x v="1"/>
    <x v="1"/>
  </r>
  <r>
    <n v="46"/>
    <x v="1"/>
    <s v="Travel_Rarely"/>
    <n v="488"/>
    <x v="0"/>
    <n v="2"/>
    <n v="3"/>
    <s v="Technical Degree"/>
    <n v="1"/>
    <x v="263"/>
    <n v="3"/>
    <s v="Female"/>
    <n v="75"/>
    <n v="1"/>
    <n v="4"/>
    <x v="5"/>
    <x v="1"/>
    <s v="Married"/>
    <n v="16872"/>
    <n v="14977"/>
    <n v="3"/>
    <s v="Y"/>
    <x v="0"/>
    <n v="12"/>
    <n v="3"/>
    <n v="2"/>
    <n v="80"/>
    <n v="1"/>
    <n v="28"/>
    <n v="2"/>
    <x v="2"/>
    <n v="7"/>
    <n v="7"/>
    <n v="7"/>
    <n v="7"/>
    <x v="0"/>
    <x v="2"/>
  </r>
  <r>
    <n v="28"/>
    <x v="0"/>
    <s v="Travel_Rarely"/>
    <n v="529"/>
    <x v="1"/>
    <n v="2"/>
    <n v="4"/>
    <s v="Life Sciences"/>
    <n v="1"/>
    <x v="264"/>
    <n v="1"/>
    <s v="Male"/>
    <n v="79"/>
    <n v="3"/>
    <n v="1"/>
    <x v="2"/>
    <x v="2"/>
    <s v="Single"/>
    <n v="3485"/>
    <n v="14935"/>
    <n v="2"/>
    <s v="Y"/>
    <x v="1"/>
    <n v="11"/>
    <n v="3"/>
    <n v="3"/>
    <n v="80"/>
    <n v="0"/>
    <n v="5"/>
    <n v="5"/>
    <x v="0"/>
    <n v="0"/>
    <n v="0"/>
    <n v="0"/>
    <n v="0"/>
    <x v="2"/>
    <x v="1"/>
  </r>
  <r>
    <n v="29"/>
    <x v="1"/>
    <s v="Travel_Rarely"/>
    <n v="1210"/>
    <x v="0"/>
    <n v="2"/>
    <n v="3"/>
    <s v="Medical"/>
    <n v="1"/>
    <x v="265"/>
    <n v="1"/>
    <s v="Male"/>
    <n v="78"/>
    <n v="2"/>
    <n v="2"/>
    <x v="0"/>
    <x v="1"/>
    <s v="Married"/>
    <n v="6644"/>
    <n v="3687"/>
    <n v="2"/>
    <s v="Y"/>
    <x v="1"/>
    <n v="19"/>
    <n v="3"/>
    <n v="2"/>
    <n v="80"/>
    <n v="2"/>
    <n v="10"/>
    <n v="2"/>
    <x v="1"/>
    <n v="0"/>
    <n v="0"/>
    <n v="0"/>
    <n v="0"/>
    <x v="2"/>
    <x v="0"/>
  </r>
  <r>
    <n v="31"/>
    <x v="1"/>
    <s v="Travel_Rarely"/>
    <n v="1463"/>
    <x v="1"/>
    <n v="23"/>
    <n v="3"/>
    <s v="Medical"/>
    <n v="1"/>
    <x v="266"/>
    <n v="2"/>
    <s v="Male"/>
    <n v="64"/>
    <n v="2"/>
    <n v="2"/>
    <x v="4"/>
    <x v="0"/>
    <s v="Married"/>
    <n v="5582"/>
    <n v="14408"/>
    <n v="0"/>
    <s v="Y"/>
    <x v="1"/>
    <n v="21"/>
    <n v="4"/>
    <n v="2"/>
    <n v="80"/>
    <n v="1"/>
    <n v="10"/>
    <n v="2"/>
    <x v="1"/>
    <n v="9"/>
    <n v="0"/>
    <n v="7"/>
    <n v="8"/>
    <x v="1"/>
    <x v="0"/>
  </r>
  <r>
    <n v="25"/>
    <x v="1"/>
    <s v="Non-Travel"/>
    <n v="675"/>
    <x v="1"/>
    <n v="5"/>
    <n v="2"/>
    <s v="Life Sciences"/>
    <n v="1"/>
    <x v="267"/>
    <n v="2"/>
    <s v="Male"/>
    <n v="85"/>
    <n v="4"/>
    <n v="2"/>
    <x v="4"/>
    <x v="3"/>
    <s v="Divorced"/>
    <n v="4000"/>
    <n v="18384"/>
    <n v="1"/>
    <s v="Y"/>
    <x v="1"/>
    <n v="12"/>
    <n v="3"/>
    <n v="4"/>
    <n v="80"/>
    <n v="2"/>
    <n v="6"/>
    <n v="2"/>
    <x v="1"/>
    <n v="6"/>
    <n v="3"/>
    <n v="1"/>
    <n v="5"/>
    <x v="2"/>
    <x v="0"/>
  </r>
  <r>
    <n v="45"/>
    <x v="1"/>
    <s v="Travel_Rarely"/>
    <n v="1385"/>
    <x v="1"/>
    <n v="20"/>
    <n v="2"/>
    <s v="Medical"/>
    <n v="1"/>
    <x v="268"/>
    <n v="3"/>
    <s v="Male"/>
    <n v="79"/>
    <n v="3"/>
    <n v="4"/>
    <x v="4"/>
    <x v="0"/>
    <s v="Married"/>
    <n v="13496"/>
    <n v="7501"/>
    <n v="0"/>
    <s v="Y"/>
    <x v="0"/>
    <n v="14"/>
    <n v="3"/>
    <n v="2"/>
    <n v="80"/>
    <n v="0"/>
    <n v="21"/>
    <n v="2"/>
    <x v="1"/>
    <n v="20"/>
    <n v="7"/>
    <n v="4"/>
    <n v="10"/>
    <x v="0"/>
    <x v="2"/>
  </r>
  <r>
    <n v="36"/>
    <x v="1"/>
    <s v="Travel_Rarely"/>
    <n v="1403"/>
    <x v="1"/>
    <n v="6"/>
    <n v="3"/>
    <s v="Life Sciences"/>
    <n v="1"/>
    <x v="269"/>
    <n v="4"/>
    <s v="Male"/>
    <n v="47"/>
    <n v="3"/>
    <n v="1"/>
    <x v="2"/>
    <x v="0"/>
    <s v="Married"/>
    <n v="3210"/>
    <n v="20251"/>
    <n v="0"/>
    <s v="Y"/>
    <x v="1"/>
    <n v="11"/>
    <n v="3"/>
    <n v="3"/>
    <n v="80"/>
    <n v="1"/>
    <n v="16"/>
    <n v="4"/>
    <x v="1"/>
    <n v="15"/>
    <n v="13"/>
    <n v="10"/>
    <n v="11"/>
    <x v="1"/>
    <x v="1"/>
  </r>
  <r>
    <n v="55"/>
    <x v="1"/>
    <s v="Travel_Rarely"/>
    <n v="452"/>
    <x v="1"/>
    <n v="1"/>
    <n v="3"/>
    <s v="Medical"/>
    <n v="1"/>
    <x v="270"/>
    <n v="4"/>
    <s v="Male"/>
    <n v="81"/>
    <n v="3"/>
    <n v="5"/>
    <x v="5"/>
    <x v="3"/>
    <s v="Single"/>
    <n v="19045"/>
    <n v="18938"/>
    <n v="0"/>
    <s v="Y"/>
    <x v="0"/>
    <n v="14"/>
    <n v="3"/>
    <n v="3"/>
    <n v="80"/>
    <n v="0"/>
    <n v="37"/>
    <n v="2"/>
    <x v="1"/>
    <n v="36"/>
    <n v="10"/>
    <n v="4"/>
    <n v="13"/>
    <x v="3"/>
    <x v="2"/>
  </r>
  <r>
    <n v="47"/>
    <x v="0"/>
    <s v="Non-Travel"/>
    <n v="666"/>
    <x v="1"/>
    <n v="29"/>
    <n v="4"/>
    <s v="Life Sciences"/>
    <n v="1"/>
    <x v="271"/>
    <n v="1"/>
    <s v="Male"/>
    <n v="88"/>
    <n v="3"/>
    <n v="3"/>
    <x v="5"/>
    <x v="1"/>
    <s v="Married"/>
    <n v="11849"/>
    <n v="10268"/>
    <n v="1"/>
    <s v="Y"/>
    <x v="0"/>
    <n v="12"/>
    <n v="3"/>
    <n v="4"/>
    <n v="80"/>
    <n v="1"/>
    <n v="10"/>
    <n v="2"/>
    <x v="2"/>
    <n v="10"/>
    <n v="7"/>
    <n v="9"/>
    <n v="9"/>
    <x v="0"/>
    <x v="2"/>
  </r>
  <r>
    <n v="28"/>
    <x v="1"/>
    <s v="Travel_Rarely"/>
    <n v="1158"/>
    <x v="1"/>
    <n v="9"/>
    <n v="3"/>
    <s v="Medical"/>
    <n v="1"/>
    <x v="272"/>
    <n v="4"/>
    <s v="Male"/>
    <n v="94"/>
    <n v="3"/>
    <n v="1"/>
    <x v="1"/>
    <x v="0"/>
    <s v="Married"/>
    <n v="2070"/>
    <n v="2613"/>
    <n v="1"/>
    <s v="Y"/>
    <x v="1"/>
    <n v="23"/>
    <n v="4"/>
    <n v="4"/>
    <n v="80"/>
    <n v="1"/>
    <n v="5"/>
    <n v="3"/>
    <x v="2"/>
    <n v="5"/>
    <n v="2"/>
    <n v="0"/>
    <n v="4"/>
    <x v="2"/>
    <x v="1"/>
  </r>
  <r>
    <n v="37"/>
    <x v="1"/>
    <s v="Travel_Rarely"/>
    <n v="228"/>
    <x v="0"/>
    <n v="6"/>
    <n v="4"/>
    <s v="Medical"/>
    <n v="1"/>
    <x v="273"/>
    <n v="3"/>
    <s v="Male"/>
    <n v="98"/>
    <n v="3"/>
    <n v="2"/>
    <x v="0"/>
    <x v="0"/>
    <s v="Married"/>
    <n v="6502"/>
    <n v="22825"/>
    <n v="4"/>
    <s v="Y"/>
    <x v="1"/>
    <n v="14"/>
    <n v="3"/>
    <n v="2"/>
    <n v="80"/>
    <n v="1"/>
    <n v="7"/>
    <n v="5"/>
    <x v="3"/>
    <n v="5"/>
    <n v="4"/>
    <n v="0"/>
    <n v="1"/>
    <x v="1"/>
    <x v="0"/>
  </r>
  <r>
    <n v="21"/>
    <x v="1"/>
    <s v="Travel_Rarely"/>
    <n v="996"/>
    <x v="1"/>
    <n v="3"/>
    <n v="2"/>
    <s v="Medical"/>
    <n v="1"/>
    <x v="274"/>
    <n v="4"/>
    <s v="Male"/>
    <n v="100"/>
    <n v="2"/>
    <n v="1"/>
    <x v="1"/>
    <x v="2"/>
    <s v="Single"/>
    <n v="3230"/>
    <n v="10531"/>
    <n v="1"/>
    <s v="Y"/>
    <x v="1"/>
    <n v="17"/>
    <n v="3"/>
    <n v="1"/>
    <n v="80"/>
    <n v="0"/>
    <n v="3"/>
    <n v="4"/>
    <x v="3"/>
    <n v="3"/>
    <n v="2"/>
    <n v="1"/>
    <n v="0"/>
    <x v="2"/>
    <x v="1"/>
  </r>
  <r>
    <n v="37"/>
    <x v="1"/>
    <s v="Non-Travel"/>
    <n v="728"/>
    <x v="1"/>
    <n v="1"/>
    <n v="4"/>
    <s v="Medical"/>
    <n v="1"/>
    <x v="275"/>
    <n v="1"/>
    <s v="Female"/>
    <n v="80"/>
    <n v="3"/>
    <n v="3"/>
    <x v="7"/>
    <x v="0"/>
    <s v="Divorced"/>
    <n v="13603"/>
    <n v="11677"/>
    <n v="2"/>
    <s v="Y"/>
    <x v="0"/>
    <n v="18"/>
    <n v="3"/>
    <n v="1"/>
    <n v="80"/>
    <n v="2"/>
    <n v="15"/>
    <n v="2"/>
    <x v="1"/>
    <n v="5"/>
    <n v="2"/>
    <n v="0"/>
    <n v="2"/>
    <x v="1"/>
    <x v="2"/>
  </r>
  <r>
    <n v="35"/>
    <x v="1"/>
    <s v="Travel_Rarely"/>
    <n v="1315"/>
    <x v="1"/>
    <n v="22"/>
    <n v="3"/>
    <s v="Life Sciences"/>
    <n v="1"/>
    <x v="276"/>
    <n v="2"/>
    <s v="Female"/>
    <n v="71"/>
    <n v="4"/>
    <n v="3"/>
    <x v="5"/>
    <x v="1"/>
    <s v="Divorced"/>
    <n v="11996"/>
    <n v="19100"/>
    <n v="7"/>
    <s v="Y"/>
    <x v="1"/>
    <n v="18"/>
    <n v="3"/>
    <n v="2"/>
    <n v="80"/>
    <n v="1"/>
    <n v="10"/>
    <n v="6"/>
    <x v="2"/>
    <n v="7"/>
    <n v="7"/>
    <n v="6"/>
    <n v="2"/>
    <x v="1"/>
    <x v="2"/>
  </r>
  <r>
    <n v="38"/>
    <x v="1"/>
    <s v="Travel_Rarely"/>
    <n v="322"/>
    <x v="0"/>
    <n v="7"/>
    <n v="2"/>
    <s v="Medical"/>
    <n v="1"/>
    <x v="277"/>
    <n v="1"/>
    <s v="Female"/>
    <n v="44"/>
    <n v="4"/>
    <n v="2"/>
    <x v="0"/>
    <x v="3"/>
    <s v="Divorced"/>
    <n v="5605"/>
    <n v="19191"/>
    <n v="1"/>
    <s v="Y"/>
    <x v="0"/>
    <n v="24"/>
    <n v="4"/>
    <n v="3"/>
    <n v="80"/>
    <n v="1"/>
    <n v="8"/>
    <n v="3"/>
    <x v="1"/>
    <n v="8"/>
    <n v="0"/>
    <n v="7"/>
    <n v="7"/>
    <x v="1"/>
    <x v="0"/>
  </r>
  <r>
    <n v="26"/>
    <x v="1"/>
    <s v="Travel_Frequently"/>
    <n v="1479"/>
    <x v="1"/>
    <n v="1"/>
    <n v="3"/>
    <s v="Life Sciences"/>
    <n v="1"/>
    <x v="278"/>
    <n v="3"/>
    <s v="Female"/>
    <n v="84"/>
    <n v="3"/>
    <n v="2"/>
    <x v="3"/>
    <x v="1"/>
    <s v="Divorced"/>
    <n v="6397"/>
    <n v="26767"/>
    <n v="1"/>
    <s v="Y"/>
    <x v="1"/>
    <n v="20"/>
    <n v="4"/>
    <n v="1"/>
    <n v="80"/>
    <n v="1"/>
    <n v="6"/>
    <n v="6"/>
    <x v="0"/>
    <n v="6"/>
    <n v="5"/>
    <n v="1"/>
    <n v="4"/>
    <x v="2"/>
    <x v="0"/>
  </r>
  <r>
    <n v="50"/>
    <x v="1"/>
    <s v="Travel_Rarely"/>
    <n v="797"/>
    <x v="1"/>
    <n v="4"/>
    <n v="1"/>
    <s v="Life Sciences"/>
    <n v="1"/>
    <x v="279"/>
    <n v="1"/>
    <s v="Male"/>
    <n v="96"/>
    <n v="3"/>
    <n v="5"/>
    <x v="7"/>
    <x v="1"/>
    <s v="Divorced"/>
    <n v="19144"/>
    <n v="15815"/>
    <n v="3"/>
    <s v="Y"/>
    <x v="1"/>
    <n v="14"/>
    <n v="3"/>
    <n v="1"/>
    <n v="80"/>
    <n v="2"/>
    <n v="28"/>
    <n v="4"/>
    <x v="2"/>
    <n v="10"/>
    <n v="4"/>
    <n v="1"/>
    <n v="6"/>
    <x v="0"/>
    <x v="2"/>
  </r>
  <r>
    <n v="53"/>
    <x v="1"/>
    <s v="Travel_Rarely"/>
    <n v="1070"/>
    <x v="1"/>
    <n v="3"/>
    <n v="4"/>
    <s v="Medical"/>
    <n v="1"/>
    <x v="280"/>
    <n v="3"/>
    <s v="Male"/>
    <n v="45"/>
    <n v="3"/>
    <n v="4"/>
    <x v="7"/>
    <x v="2"/>
    <s v="Married"/>
    <n v="17584"/>
    <n v="21016"/>
    <n v="3"/>
    <s v="Y"/>
    <x v="0"/>
    <n v="16"/>
    <n v="3"/>
    <n v="4"/>
    <n v="80"/>
    <n v="3"/>
    <n v="21"/>
    <n v="5"/>
    <x v="2"/>
    <n v="5"/>
    <n v="3"/>
    <n v="1"/>
    <n v="3"/>
    <x v="3"/>
    <x v="2"/>
  </r>
  <r>
    <n v="42"/>
    <x v="1"/>
    <s v="Travel_Rarely"/>
    <n v="635"/>
    <x v="0"/>
    <n v="1"/>
    <n v="1"/>
    <s v="Life Sciences"/>
    <n v="1"/>
    <x v="281"/>
    <n v="2"/>
    <s v="Male"/>
    <n v="99"/>
    <n v="3"/>
    <n v="2"/>
    <x v="0"/>
    <x v="2"/>
    <s v="Married"/>
    <n v="4907"/>
    <n v="24532"/>
    <n v="1"/>
    <s v="Y"/>
    <x v="1"/>
    <n v="25"/>
    <n v="4"/>
    <n v="3"/>
    <n v="80"/>
    <n v="0"/>
    <n v="20"/>
    <n v="3"/>
    <x v="1"/>
    <n v="20"/>
    <n v="16"/>
    <n v="11"/>
    <n v="6"/>
    <x v="0"/>
    <x v="0"/>
  </r>
  <r>
    <n v="29"/>
    <x v="1"/>
    <s v="Travel_Frequently"/>
    <n v="442"/>
    <x v="0"/>
    <n v="2"/>
    <n v="2"/>
    <s v="Life Sciences"/>
    <n v="1"/>
    <x v="282"/>
    <n v="2"/>
    <s v="Male"/>
    <n v="44"/>
    <n v="3"/>
    <n v="2"/>
    <x v="0"/>
    <x v="0"/>
    <s v="Single"/>
    <n v="4554"/>
    <n v="20260"/>
    <n v="1"/>
    <s v="Y"/>
    <x v="1"/>
    <n v="18"/>
    <n v="3"/>
    <n v="1"/>
    <n v="80"/>
    <n v="0"/>
    <n v="10"/>
    <n v="3"/>
    <x v="2"/>
    <n v="10"/>
    <n v="7"/>
    <n v="0"/>
    <n v="9"/>
    <x v="2"/>
    <x v="0"/>
  </r>
  <r>
    <n v="55"/>
    <x v="1"/>
    <s v="Travel_Rarely"/>
    <n v="147"/>
    <x v="1"/>
    <n v="20"/>
    <n v="2"/>
    <s v="Technical Degree"/>
    <n v="1"/>
    <x v="283"/>
    <n v="2"/>
    <s v="Male"/>
    <n v="37"/>
    <n v="3"/>
    <n v="2"/>
    <x v="2"/>
    <x v="0"/>
    <s v="Married"/>
    <n v="5415"/>
    <n v="15972"/>
    <n v="3"/>
    <s v="Y"/>
    <x v="0"/>
    <n v="19"/>
    <n v="3"/>
    <n v="4"/>
    <n v="80"/>
    <n v="1"/>
    <n v="12"/>
    <n v="4"/>
    <x v="1"/>
    <n v="10"/>
    <n v="7"/>
    <n v="0"/>
    <n v="8"/>
    <x v="3"/>
    <x v="0"/>
  </r>
  <r>
    <n v="26"/>
    <x v="1"/>
    <s v="Travel_Frequently"/>
    <n v="496"/>
    <x v="1"/>
    <n v="11"/>
    <n v="2"/>
    <s v="Medical"/>
    <n v="1"/>
    <x v="284"/>
    <n v="1"/>
    <s v="Male"/>
    <n v="60"/>
    <n v="3"/>
    <n v="2"/>
    <x v="4"/>
    <x v="3"/>
    <s v="Married"/>
    <n v="4741"/>
    <n v="22722"/>
    <n v="1"/>
    <s v="Y"/>
    <x v="0"/>
    <n v="13"/>
    <n v="3"/>
    <n v="3"/>
    <n v="80"/>
    <n v="1"/>
    <n v="5"/>
    <n v="3"/>
    <x v="1"/>
    <n v="5"/>
    <n v="3"/>
    <n v="3"/>
    <n v="3"/>
    <x v="2"/>
    <x v="0"/>
  </r>
  <r>
    <n v="37"/>
    <x v="1"/>
    <s v="Travel_Rarely"/>
    <n v="1372"/>
    <x v="1"/>
    <n v="1"/>
    <n v="3"/>
    <s v="Life Sciences"/>
    <n v="1"/>
    <x v="285"/>
    <n v="4"/>
    <s v="Female"/>
    <n v="42"/>
    <n v="3"/>
    <n v="1"/>
    <x v="1"/>
    <x v="0"/>
    <s v="Single"/>
    <n v="2115"/>
    <n v="15881"/>
    <n v="1"/>
    <s v="Y"/>
    <x v="1"/>
    <n v="12"/>
    <n v="3"/>
    <n v="2"/>
    <n v="80"/>
    <n v="0"/>
    <n v="17"/>
    <n v="3"/>
    <x v="1"/>
    <n v="17"/>
    <n v="12"/>
    <n v="5"/>
    <n v="7"/>
    <x v="1"/>
    <x v="1"/>
  </r>
  <r>
    <n v="44"/>
    <x v="0"/>
    <s v="Travel_Frequently"/>
    <n v="920"/>
    <x v="1"/>
    <n v="24"/>
    <n v="3"/>
    <s v="Life Sciences"/>
    <n v="1"/>
    <x v="286"/>
    <n v="4"/>
    <s v="Male"/>
    <n v="43"/>
    <n v="3"/>
    <n v="1"/>
    <x v="2"/>
    <x v="2"/>
    <s v="Divorced"/>
    <n v="3161"/>
    <n v="19920"/>
    <n v="3"/>
    <s v="Y"/>
    <x v="0"/>
    <n v="22"/>
    <n v="4"/>
    <n v="4"/>
    <n v="80"/>
    <n v="1"/>
    <n v="19"/>
    <n v="0"/>
    <x v="0"/>
    <n v="1"/>
    <n v="0"/>
    <n v="0"/>
    <n v="0"/>
    <x v="0"/>
    <x v="1"/>
  </r>
  <r>
    <n v="38"/>
    <x v="1"/>
    <s v="Travel_Rarely"/>
    <n v="688"/>
    <x v="1"/>
    <n v="23"/>
    <n v="4"/>
    <s v="Life Sciences"/>
    <n v="1"/>
    <x v="287"/>
    <n v="4"/>
    <s v="Male"/>
    <n v="82"/>
    <n v="3"/>
    <n v="2"/>
    <x v="4"/>
    <x v="0"/>
    <s v="Divorced"/>
    <n v="5745"/>
    <n v="18899"/>
    <n v="9"/>
    <s v="Y"/>
    <x v="1"/>
    <n v="14"/>
    <n v="3"/>
    <n v="2"/>
    <n v="80"/>
    <n v="1"/>
    <n v="10"/>
    <n v="2"/>
    <x v="1"/>
    <n v="2"/>
    <n v="2"/>
    <n v="1"/>
    <n v="2"/>
    <x v="1"/>
    <x v="0"/>
  </r>
  <r>
    <n v="26"/>
    <x v="0"/>
    <s v="Travel_Rarely"/>
    <n v="1449"/>
    <x v="1"/>
    <n v="16"/>
    <n v="4"/>
    <s v="Medical"/>
    <n v="1"/>
    <x v="288"/>
    <n v="1"/>
    <s v="Male"/>
    <n v="45"/>
    <n v="3"/>
    <n v="1"/>
    <x v="2"/>
    <x v="1"/>
    <s v="Divorced"/>
    <n v="2373"/>
    <n v="14180"/>
    <n v="2"/>
    <s v="Y"/>
    <x v="0"/>
    <n v="13"/>
    <n v="3"/>
    <n v="4"/>
    <n v="80"/>
    <n v="1"/>
    <n v="5"/>
    <n v="2"/>
    <x v="1"/>
    <n v="3"/>
    <n v="2"/>
    <n v="0"/>
    <n v="2"/>
    <x v="2"/>
    <x v="1"/>
  </r>
  <r>
    <n v="28"/>
    <x v="1"/>
    <s v="Travel_Rarely"/>
    <n v="1117"/>
    <x v="1"/>
    <n v="8"/>
    <n v="2"/>
    <s v="Life Sciences"/>
    <n v="1"/>
    <x v="289"/>
    <n v="4"/>
    <s v="Female"/>
    <n v="66"/>
    <n v="3"/>
    <n v="1"/>
    <x v="1"/>
    <x v="0"/>
    <s v="Single"/>
    <n v="3310"/>
    <n v="4488"/>
    <n v="1"/>
    <s v="Y"/>
    <x v="1"/>
    <n v="21"/>
    <n v="4"/>
    <n v="4"/>
    <n v="80"/>
    <n v="0"/>
    <n v="5"/>
    <n v="3"/>
    <x v="1"/>
    <n v="5"/>
    <n v="3"/>
    <n v="0"/>
    <n v="2"/>
    <x v="2"/>
    <x v="1"/>
  </r>
  <r>
    <n v="49"/>
    <x v="1"/>
    <s v="Travel_Frequently"/>
    <n v="636"/>
    <x v="1"/>
    <n v="10"/>
    <n v="4"/>
    <s v="Life Sciences"/>
    <n v="1"/>
    <x v="290"/>
    <n v="3"/>
    <s v="Female"/>
    <n v="35"/>
    <n v="3"/>
    <n v="5"/>
    <x v="7"/>
    <x v="3"/>
    <s v="Single"/>
    <n v="18665"/>
    <n v="25594"/>
    <n v="9"/>
    <s v="Y"/>
    <x v="0"/>
    <n v="11"/>
    <n v="3"/>
    <n v="4"/>
    <n v="80"/>
    <n v="0"/>
    <n v="22"/>
    <n v="4"/>
    <x v="1"/>
    <n v="3"/>
    <n v="2"/>
    <n v="1"/>
    <n v="2"/>
    <x v="0"/>
    <x v="2"/>
  </r>
  <r>
    <n v="36"/>
    <x v="1"/>
    <s v="Travel_Rarely"/>
    <n v="506"/>
    <x v="1"/>
    <n v="3"/>
    <n v="3"/>
    <s v="Technical Degree"/>
    <n v="1"/>
    <x v="291"/>
    <n v="3"/>
    <s v="Male"/>
    <n v="30"/>
    <n v="3"/>
    <n v="2"/>
    <x v="1"/>
    <x v="1"/>
    <s v="Single"/>
    <n v="4485"/>
    <n v="26285"/>
    <n v="4"/>
    <s v="Y"/>
    <x v="1"/>
    <n v="12"/>
    <n v="3"/>
    <n v="4"/>
    <n v="80"/>
    <n v="0"/>
    <n v="10"/>
    <n v="2"/>
    <x v="1"/>
    <n v="8"/>
    <n v="0"/>
    <n v="7"/>
    <n v="7"/>
    <x v="1"/>
    <x v="0"/>
  </r>
  <r>
    <n v="31"/>
    <x v="1"/>
    <s v="Travel_Frequently"/>
    <n v="444"/>
    <x v="0"/>
    <n v="5"/>
    <n v="3"/>
    <s v="Marketing"/>
    <n v="1"/>
    <x v="292"/>
    <n v="4"/>
    <s v="Female"/>
    <n v="84"/>
    <n v="3"/>
    <n v="1"/>
    <x v="6"/>
    <x v="1"/>
    <s v="Divorced"/>
    <n v="2789"/>
    <n v="3909"/>
    <n v="1"/>
    <s v="Y"/>
    <x v="1"/>
    <n v="11"/>
    <n v="3"/>
    <n v="3"/>
    <n v="80"/>
    <n v="1"/>
    <n v="2"/>
    <n v="5"/>
    <x v="2"/>
    <n v="2"/>
    <n v="2"/>
    <n v="2"/>
    <n v="2"/>
    <x v="1"/>
    <x v="1"/>
  </r>
  <r>
    <n v="26"/>
    <x v="0"/>
    <s v="Travel_Rarely"/>
    <n v="950"/>
    <x v="0"/>
    <n v="4"/>
    <n v="4"/>
    <s v="Marketing"/>
    <n v="1"/>
    <x v="293"/>
    <n v="4"/>
    <s v="Male"/>
    <n v="48"/>
    <n v="2"/>
    <n v="2"/>
    <x v="0"/>
    <x v="0"/>
    <s v="Single"/>
    <n v="5828"/>
    <n v="8450"/>
    <n v="1"/>
    <s v="Y"/>
    <x v="0"/>
    <n v="12"/>
    <n v="3"/>
    <n v="2"/>
    <n v="80"/>
    <n v="0"/>
    <n v="8"/>
    <n v="0"/>
    <x v="1"/>
    <n v="8"/>
    <n v="7"/>
    <n v="7"/>
    <n v="4"/>
    <x v="2"/>
    <x v="0"/>
  </r>
  <r>
    <n v="37"/>
    <x v="1"/>
    <s v="Travel_Frequently"/>
    <n v="889"/>
    <x v="1"/>
    <n v="9"/>
    <n v="3"/>
    <s v="Medical"/>
    <n v="1"/>
    <x v="294"/>
    <n v="2"/>
    <s v="Male"/>
    <n v="53"/>
    <n v="3"/>
    <n v="1"/>
    <x v="1"/>
    <x v="0"/>
    <s v="Married"/>
    <n v="2326"/>
    <n v="11411"/>
    <n v="1"/>
    <s v="Y"/>
    <x v="0"/>
    <n v="12"/>
    <n v="3"/>
    <n v="3"/>
    <n v="80"/>
    <n v="3"/>
    <n v="4"/>
    <n v="3"/>
    <x v="2"/>
    <n v="4"/>
    <n v="2"/>
    <n v="1"/>
    <n v="2"/>
    <x v="1"/>
    <x v="1"/>
  </r>
  <r>
    <n v="42"/>
    <x v="1"/>
    <s v="Travel_Frequently"/>
    <n v="555"/>
    <x v="0"/>
    <n v="26"/>
    <n v="3"/>
    <s v="Marketing"/>
    <n v="1"/>
    <x v="295"/>
    <n v="3"/>
    <s v="Female"/>
    <n v="77"/>
    <n v="3"/>
    <n v="4"/>
    <x v="0"/>
    <x v="1"/>
    <s v="Married"/>
    <n v="13525"/>
    <n v="14864"/>
    <n v="5"/>
    <s v="Y"/>
    <x v="1"/>
    <n v="14"/>
    <n v="3"/>
    <n v="4"/>
    <n v="80"/>
    <n v="1"/>
    <n v="23"/>
    <n v="2"/>
    <x v="3"/>
    <n v="20"/>
    <n v="4"/>
    <n v="4"/>
    <n v="8"/>
    <x v="0"/>
    <x v="2"/>
  </r>
  <r>
    <n v="18"/>
    <x v="0"/>
    <s v="Travel_Rarely"/>
    <n v="230"/>
    <x v="1"/>
    <n v="3"/>
    <n v="3"/>
    <s v="Life Sciences"/>
    <n v="1"/>
    <x v="296"/>
    <n v="3"/>
    <s v="Male"/>
    <n v="54"/>
    <n v="3"/>
    <n v="1"/>
    <x v="2"/>
    <x v="2"/>
    <s v="Single"/>
    <n v="1420"/>
    <n v="25233"/>
    <n v="1"/>
    <s v="Y"/>
    <x v="1"/>
    <n v="13"/>
    <n v="3"/>
    <n v="3"/>
    <n v="80"/>
    <n v="0"/>
    <n v="0"/>
    <n v="2"/>
    <x v="1"/>
    <n v="0"/>
    <n v="0"/>
    <n v="0"/>
    <n v="0"/>
    <x v="2"/>
    <x v="1"/>
  </r>
  <r>
    <n v="35"/>
    <x v="1"/>
    <s v="Travel_Rarely"/>
    <n v="1232"/>
    <x v="0"/>
    <n v="16"/>
    <n v="3"/>
    <s v="Marketing"/>
    <n v="1"/>
    <x v="297"/>
    <n v="3"/>
    <s v="Male"/>
    <n v="96"/>
    <n v="3"/>
    <n v="3"/>
    <x v="0"/>
    <x v="1"/>
    <s v="Married"/>
    <n v="8020"/>
    <n v="5100"/>
    <n v="0"/>
    <s v="Y"/>
    <x v="1"/>
    <n v="15"/>
    <n v="3"/>
    <n v="3"/>
    <n v="80"/>
    <n v="2"/>
    <n v="12"/>
    <n v="3"/>
    <x v="2"/>
    <n v="11"/>
    <n v="9"/>
    <n v="6"/>
    <n v="9"/>
    <x v="1"/>
    <x v="2"/>
  </r>
  <r>
    <n v="36"/>
    <x v="1"/>
    <s v="Travel_Frequently"/>
    <n v="566"/>
    <x v="1"/>
    <n v="18"/>
    <n v="4"/>
    <s v="Life Sciences"/>
    <n v="1"/>
    <x v="298"/>
    <n v="3"/>
    <s v="Male"/>
    <n v="81"/>
    <n v="4"/>
    <n v="1"/>
    <x v="2"/>
    <x v="0"/>
    <s v="Married"/>
    <n v="3688"/>
    <n v="7122"/>
    <n v="4"/>
    <s v="Y"/>
    <x v="1"/>
    <n v="18"/>
    <n v="3"/>
    <n v="4"/>
    <n v="80"/>
    <n v="2"/>
    <n v="4"/>
    <n v="2"/>
    <x v="1"/>
    <n v="1"/>
    <n v="0"/>
    <n v="0"/>
    <n v="0"/>
    <x v="1"/>
    <x v="1"/>
  </r>
  <r>
    <n v="51"/>
    <x v="1"/>
    <s v="Travel_Rarely"/>
    <n v="1302"/>
    <x v="1"/>
    <n v="2"/>
    <n v="3"/>
    <s v="Medical"/>
    <n v="1"/>
    <x v="299"/>
    <n v="4"/>
    <s v="Male"/>
    <n v="84"/>
    <n v="1"/>
    <n v="2"/>
    <x v="3"/>
    <x v="1"/>
    <s v="Divorced"/>
    <n v="5482"/>
    <n v="16321"/>
    <n v="5"/>
    <s v="Y"/>
    <x v="1"/>
    <n v="18"/>
    <n v="3"/>
    <n v="4"/>
    <n v="80"/>
    <n v="1"/>
    <n v="13"/>
    <n v="3"/>
    <x v="1"/>
    <n v="4"/>
    <n v="1"/>
    <n v="1"/>
    <n v="2"/>
    <x v="3"/>
    <x v="0"/>
  </r>
  <r>
    <n v="41"/>
    <x v="1"/>
    <s v="Travel_Rarely"/>
    <n v="334"/>
    <x v="0"/>
    <n v="2"/>
    <n v="4"/>
    <s v="Life Sciences"/>
    <n v="1"/>
    <x v="300"/>
    <n v="4"/>
    <s v="Male"/>
    <n v="88"/>
    <n v="3"/>
    <n v="4"/>
    <x v="5"/>
    <x v="1"/>
    <s v="Single"/>
    <n v="16015"/>
    <n v="15896"/>
    <n v="1"/>
    <s v="Y"/>
    <x v="1"/>
    <n v="19"/>
    <n v="3"/>
    <n v="2"/>
    <n v="80"/>
    <n v="0"/>
    <n v="22"/>
    <n v="2"/>
    <x v="1"/>
    <n v="22"/>
    <n v="10"/>
    <n v="0"/>
    <n v="4"/>
    <x v="0"/>
    <x v="2"/>
  </r>
  <r>
    <n v="18"/>
    <x v="1"/>
    <s v="Travel_Rarely"/>
    <n v="812"/>
    <x v="0"/>
    <n v="10"/>
    <n v="3"/>
    <s v="Medical"/>
    <n v="1"/>
    <x v="301"/>
    <n v="4"/>
    <s v="Female"/>
    <n v="69"/>
    <n v="2"/>
    <n v="1"/>
    <x v="6"/>
    <x v="2"/>
    <s v="Single"/>
    <n v="1200"/>
    <n v="9724"/>
    <n v="1"/>
    <s v="Y"/>
    <x v="1"/>
    <n v="12"/>
    <n v="3"/>
    <n v="1"/>
    <n v="80"/>
    <n v="0"/>
    <n v="0"/>
    <n v="2"/>
    <x v="1"/>
    <n v="0"/>
    <n v="0"/>
    <n v="0"/>
    <n v="0"/>
    <x v="2"/>
    <x v="1"/>
  </r>
  <r>
    <n v="28"/>
    <x v="1"/>
    <s v="Travel_Rarely"/>
    <n v="1476"/>
    <x v="1"/>
    <n v="16"/>
    <n v="2"/>
    <s v="Medical"/>
    <n v="1"/>
    <x v="302"/>
    <n v="2"/>
    <s v="Male"/>
    <n v="68"/>
    <n v="4"/>
    <n v="2"/>
    <x v="4"/>
    <x v="3"/>
    <s v="Single"/>
    <n v="5661"/>
    <n v="4824"/>
    <n v="0"/>
    <s v="Y"/>
    <x v="1"/>
    <n v="19"/>
    <n v="3"/>
    <n v="3"/>
    <n v="80"/>
    <n v="0"/>
    <n v="9"/>
    <n v="2"/>
    <x v="1"/>
    <n v="8"/>
    <n v="3"/>
    <n v="0"/>
    <n v="7"/>
    <x v="2"/>
    <x v="0"/>
  </r>
  <r>
    <n v="31"/>
    <x v="1"/>
    <s v="Travel_Rarely"/>
    <n v="218"/>
    <x v="0"/>
    <n v="7"/>
    <n v="3"/>
    <s v="Technical Degree"/>
    <n v="1"/>
    <x v="303"/>
    <n v="2"/>
    <s v="Male"/>
    <n v="100"/>
    <n v="4"/>
    <n v="2"/>
    <x v="0"/>
    <x v="0"/>
    <s v="Married"/>
    <n v="6929"/>
    <n v="12241"/>
    <n v="4"/>
    <s v="Y"/>
    <x v="1"/>
    <n v="11"/>
    <n v="3"/>
    <n v="2"/>
    <n v="80"/>
    <n v="1"/>
    <n v="10"/>
    <n v="3"/>
    <x v="2"/>
    <n v="8"/>
    <n v="7"/>
    <n v="7"/>
    <n v="7"/>
    <x v="1"/>
    <x v="0"/>
  </r>
  <r>
    <n v="39"/>
    <x v="1"/>
    <s v="Travel_Rarely"/>
    <n v="1132"/>
    <x v="1"/>
    <n v="1"/>
    <n v="3"/>
    <s v="Medical"/>
    <n v="1"/>
    <x v="304"/>
    <n v="3"/>
    <s v="Male"/>
    <n v="48"/>
    <n v="4"/>
    <n v="3"/>
    <x v="4"/>
    <x v="0"/>
    <s v="Divorced"/>
    <n v="9613"/>
    <n v="10942"/>
    <n v="0"/>
    <s v="Y"/>
    <x v="1"/>
    <n v="17"/>
    <n v="3"/>
    <n v="1"/>
    <n v="80"/>
    <n v="3"/>
    <n v="19"/>
    <n v="5"/>
    <x v="2"/>
    <n v="18"/>
    <n v="10"/>
    <n v="3"/>
    <n v="7"/>
    <x v="1"/>
    <x v="2"/>
  </r>
  <r>
    <n v="36"/>
    <x v="1"/>
    <s v="Non-Travel"/>
    <n v="1105"/>
    <x v="1"/>
    <n v="24"/>
    <n v="4"/>
    <s v="Life Sciences"/>
    <n v="1"/>
    <x v="305"/>
    <n v="2"/>
    <s v="Female"/>
    <n v="47"/>
    <n v="3"/>
    <n v="2"/>
    <x v="2"/>
    <x v="1"/>
    <s v="Married"/>
    <n v="5674"/>
    <n v="6927"/>
    <n v="7"/>
    <s v="Y"/>
    <x v="1"/>
    <n v="15"/>
    <n v="3"/>
    <n v="3"/>
    <n v="80"/>
    <n v="1"/>
    <n v="11"/>
    <n v="3"/>
    <x v="1"/>
    <n v="9"/>
    <n v="8"/>
    <n v="0"/>
    <n v="8"/>
    <x v="1"/>
    <x v="0"/>
  </r>
  <r>
    <n v="32"/>
    <x v="1"/>
    <s v="Travel_Rarely"/>
    <n v="906"/>
    <x v="0"/>
    <n v="7"/>
    <n v="3"/>
    <s v="Life Sciences"/>
    <n v="1"/>
    <x v="306"/>
    <n v="4"/>
    <s v="Male"/>
    <n v="91"/>
    <n v="2"/>
    <n v="2"/>
    <x v="0"/>
    <x v="2"/>
    <s v="Married"/>
    <n v="5484"/>
    <n v="16985"/>
    <n v="1"/>
    <s v="Y"/>
    <x v="1"/>
    <n v="14"/>
    <n v="3"/>
    <n v="3"/>
    <n v="80"/>
    <n v="1"/>
    <n v="13"/>
    <n v="3"/>
    <x v="2"/>
    <n v="13"/>
    <n v="8"/>
    <n v="4"/>
    <n v="8"/>
    <x v="1"/>
    <x v="0"/>
  </r>
  <r>
    <n v="38"/>
    <x v="1"/>
    <s v="Travel_Rarely"/>
    <n v="849"/>
    <x v="1"/>
    <n v="25"/>
    <n v="2"/>
    <s v="Life Sciences"/>
    <n v="1"/>
    <x v="307"/>
    <n v="1"/>
    <s v="Female"/>
    <n v="81"/>
    <n v="2"/>
    <n v="3"/>
    <x v="7"/>
    <x v="1"/>
    <s v="Married"/>
    <n v="12061"/>
    <n v="26707"/>
    <n v="3"/>
    <s v="Y"/>
    <x v="1"/>
    <n v="17"/>
    <n v="3"/>
    <n v="3"/>
    <n v="80"/>
    <n v="1"/>
    <n v="19"/>
    <n v="2"/>
    <x v="1"/>
    <n v="10"/>
    <n v="8"/>
    <n v="0"/>
    <n v="1"/>
    <x v="1"/>
    <x v="2"/>
  </r>
  <r>
    <n v="58"/>
    <x v="1"/>
    <s v="Non-Travel"/>
    <n v="390"/>
    <x v="1"/>
    <n v="1"/>
    <n v="4"/>
    <s v="Life Sciences"/>
    <n v="1"/>
    <x v="308"/>
    <n v="4"/>
    <s v="Male"/>
    <n v="32"/>
    <n v="1"/>
    <n v="2"/>
    <x v="4"/>
    <x v="2"/>
    <s v="Divorced"/>
    <n v="5660"/>
    <n v="17056"/>
    <n v="2"/>
    <s v="Y"/>
    <x v="0"/>
    <n v="13"/>
    <n v="3"/>
    <n v="4"/>
    <n v="80"/>
    <n v="1"/>
    <n v="12"/>
    <n v="2"/>
    <x v="1"/>
    <n v="5"/>
    <n v="3"/>
    <n v="1"/>
    <n v="2"/>
    <x v="3"/>
    <x v="0"/>
  </r>
  <r>
    <n v="31"/>
    <x v="1"/>
    <s v="Travel_Rarely"/>
    <n v="691"/>
    <x v="1"/>
    <n v="5"/>
    <n v="4"/>
    <s v="Technical Degree"/>
    <n v="1"/>
    <x v="309"/>
    <n v="3"/>
    <s v="Male"/>
    <n v="86"/>
    <n v="3"/>
    <n v="1"/>
    <x v="1"/>
    <x v="0"/>
    <s v="Married"/>
    <n v="4821"/>
    <n v="10077"/>
    <n v="0"/>
    <s v="Y"/>
    <x v="0"/>
    <n v="12"/>
    <n v="3"/>
    <n v="3"/>
    <n v="80"/>
    <n v="1"/>
    <n v="6"/>
    <n v="4"/>
    <x v="1"/>
    <n v="5"/>
    <n v="2"/>
    <n v="0"/>
    <n v="3"/>
    <x v="1"/>
    <x v="0"/>
  </r>
  <r>
    <n v="31"/>
    <x v="1"/>
    <s v="Travel_Rarely"/>
    <n v="106"/>
    <x v="2"/>
    <n v="2"/>
    <n v="3"/>
    <s v="Human Resources"/>
    <n v="1"/>
    <x v="310"/>
    <n v="1"/>
    <s v="Male"/>
    <n v="62"/>
    <n v="2"/>
    <n v="2"/>
    <x v="8"/>
    <x v="3"/>
    <s v="Married"/>
    <n v="6410"/>
    <n v="17822"/>
    <n v="3"/>
    <s v="Y"/>
    <x v="1"/>
    <n v="12"/>
    <n v="3"/>
    <n v="4"/>
    <n v="80"/>
    <n v="0"/>
    <n v="9"/>
    <n v="1"/>
    <x v="1"/>
    <n v="2"/>
    <n v="2"/>
    <n v="1"/>
    <n v="0"/>
    <x v="1"/>
    <x v="0"/>
  </r>
  <r>
    <n v="45"/>
    <x v="1"/>
    <s v="Travel_Frequently"/>
    <n v="1249"/>
    <x v="1"/>
    <n v="7"/>
    <n v="3"/>
    <s v="Life Sciences"/>
    <n v="1"/>
    <x v="311"/>
    <n v="1"/>
    <s v="Male"/>
    <n v="97"/>
    <n v="3"/>
    <n v="3"/>
    <x v="2"/>
    <x v="3"/>
    <s v="Divorced"/>
    <n v="5210"/>
    <n v="20308"/>
    <n v="1"/>
    <s v="Y"/>
    <x v="1"/>
    <n v="18"/>
    <n v="3"/>
    <n v="1"/>
    <n v="80"/>
    <n v="1"/>
    <n v="24"/>
    <n v="2"/>
    <x v="1"/>
    <n v="24"/>
    <n v="9"/>
    <n v="9"/>
    <n v="11"/>
    <x v="0"/>
    <x v="0"/>
  </r>
  <r>
    <n v="31"/>
    <x v="1"/>
    <s v="Travel_Rarely"/>
    <n v="192"/>
    <x v="1"/>
    <n v="2"/>
    <n v="4"/>
    <s v="Life Sciences"/>
    <n v="1"/>
    <x v="312"/>
    <n v="3"/>
    <s v="Male"/>
    <n v="32"/>
    <n v="3"/>
    <n v="1"/>
    <x v="1"/>
    <x v="0"/>
    <s v="Divorced"/>
    <n v="2695"/>
    <n v="7747"/>
    <n v="0"/>
    <s v="Y"/>
    <x v="0"/>
    <n v="18"/>
    <n v="3"/>
    <n v="2"/>
    <n v="80"/>
    <n v="1"/>
    <n v="3"/>
    <n v="2"/>
    <x v="0"/>
    <n v="2"/>
    <n v="2"/>
    <n v="2"/>
    <n v="2"/>
    <x v="1"/>
    <x v="1"/>
  </r>
  <r>
    <n v="33"/>
    <x v="1"/>
    <s v="Travel_Frequently"/>
    <n v="553"/>
    <x v="1"/>
    <n v="5"/>
    <n v="4"/>
    <s v="Life Sciences"/>
    <n v="1"/>
    <x v="313"/>
    <n v="4"/>
    <s v="Female"/>
    <n v="74"/>
    <n v="3"/>
    <n v="3"/>
    <x v="5"/>
    <x v="1"/>
    <s v="Married"/>
    <n v="11878"/>
    <n v="23364"/>
    <n v="6"/>
    <s v="Y"/>
    <x v="1"/>
    <n v="11"/>
    <n v="3"/>
    <n v="2"/>
    <n v="80"/>
    <n v="2"/>
    <n v="12"/>
    <n v="2"/>
    <x v="1"/>
    <n v="10"/>
    <n v="6"/>
    <n v="8"/>
    <n v="8"/>
    <x v="1"/>
    <x v="2"/>
  </r>
  <r>
    <n v="39"/>
    <x v="1"/>
    <s v="Travel_Rarely"/>
    <n v="117"/>
    <x v="1"/>
    <n v="10"/>
    <n v="1"/>
    <s v="Medical"/>
    <n v="1"/>
    <x v="314"/>
    <n v="3"/>
    <s v="Male"/>
    <n v="99"/>
    <n v="3"/>
    <n v="4"/>
    <x v="5"/>
    <x v="3"/>
    <s v="Married"/>
    <n v="17068"/>
    <n v="5355"/>
    <n v="1"/>
    <s v="Y"/>
    <x v="0"/>
    <n v="14"/>
    <n v="3"/>
    <n v="4"/>
    <n v="80"/>
    <n v="0"/>
    <n v="21"/>
    <n v="3"/>
    <x v="1"/>
    <n v="21"/>
    <n v="9"/>
    <n v="11"/>
    <n v="10"/>
    <x v="1"/>
    <x v="2"/>
  </r>
  <r>
    <n v="43"/>
    <x v="1"/>
    <s v="Travel_Frequently"/>
    <n v="185"/>
    <x v="1"/>
    <n v="10"/>
    <n v="4"/>
    <s v="Life Sciences"/>
    <n v="1"/>
    <x v="315"/>
    <n v="3"/>
    <s v="Female"/>
    <n v="33"/>
    <n v="3"/>
    <n v="1"/>
    <x v="2"/>
    <x v="0"/>
    <s v="Single"/>
    <n v="2455"/>
    <n v="10675"/>
    <n v="0"/>
    <s v="Y"/>
    <x v="1"/>
    <n v="19"/>
    <n v="3"/>
    <n v="1"/>
    <n v="80"/>
    <n v="0"/>
    <n v="9"/>
    <n v="5"/>
    <x v="1"/>
    <n v="8"/>
    <n v="7"/>
    <n v="1"/>
    <n v="7"/>
    <x v="0"/>
    <x v="1"/>
  </r>
  <r>
    <n v="49"/>
    <x v="1"/>
    <s v="Travel_Rarely"/>
    <n v="1091"/>
    <x v="1"/>
    <n v="1"/>
    <n v="2"/>
    <s v="Technical Degree"/>
    <n v="1"/>
    <x v="316"/>
    <n v="3"/>
    <s v="Female"/>
    <n v="90"/>
    <n v="2"/>
    <n v="4"/>
    <x v="4"/>
    <x v="2"/>
    <s v="Single"/>
    <n v="13964"/>
    <n v="17810"/>
    <n v="7"/>
    <s v="Y"/>
    <x v="0"/>
    <n v="12"/>
    <n v="3"/>
    <n v="4"/>
    <n v="80"/>
    <n v="0"/>
    <n v="25"/>
    <n v="2"/>
    <x v="1"/>
    <n v="7"/>
    <n v="1"/>
    <n v="0"/>
    <n v="7"/>
    <x v="0"/>
    <x v="2"/>
  </r>
  <r>
    <n v="52"/>
    <x v="0"/>
    <s v="Travel_Rarely"/>
    <n v="723"/>
    <x v="1"/>
    <n v="8"/>
    <n v="4"/>
    <s v="Medical"/>
    <n v="1"/>
    <x v="317"/>
    <n v="3"/>
    <s v="Male"/>
    <n v="85"/>
    <n v="2"/>
    <n v="2"/>
    <x v="1"/>
    <x v="1"/>
    <s v="Married"/>
    <n v="4941"/>
    <n v="17747"/>
    <n v="2"/>
    <s v="Y"/>
    <x v="1"/>
    <n v="15"/>
    <n v="3"/>
    <n v="1"/>
    <n v="80"/>
    <n v="0"/>
    <n v="11"/>
    <n v="3"/>
    <x v="2"/>
    <n v="8"/>
    <n v="2"/>
    <n v="7"/>
    <n v="7"/>
    <x v="3"/>
    <x v="0"/>
  </r>
  <r>
    <n v="27"/>
    <x v="1"/>
    <s v="Travel_Rarely"/>
    <n v="1220"/>
    <x v="1"/>
    <n v="5"/>
    <n v="3"/>
    <s v="Life Sciences"/>
    <n v="1"/>
    <x v="318"/>
    <n v="3"/>
    <s v="Female"/>
    <n v="85"/>
    <n v="3"/>
    <n v="1"/>
    <x v="1"/>
    <x v="1"/>
    <s v="Single"/>
    <n v="2478"/>
    <n v="20938"/>
    <n v="1"/>
    <s v="Y"/>
    <x v="0"/>
    <n v="12"/>
    <n v="3"/>
    <n v="2"/>
    <n v="80"/>
    <n v="0"/>
    <n v="4"/>
    <n v="2"/>
    <x v="2"/>
    <n v="4"/>
    <n v="3"/>
    <n v="1"/>
    <n v="2"/>
    <x v="2"/>
    <x v="1"/>
  </r>
  <r>
    <n v="32"/>
    <x v="1"/>
    <s v="Travel_Rarely"/>
    <n v="588"/>
    <x v="0"/>
    <n v="8"/>
    <n v="2"/>
    <s v="Technical Degree"/>
    <n v="1"/>
    <x v="319"/>
    <n v="3"/>
    <s v="Female"/>
    <n v="65"/>
    <n v="2"/>
    <n v="2"/>
    <x v="0"/>
    <x v="1"/>
    <s v="Married"/>
    <n v="5228"/>
    <n v="24624"/>
    <n v="1"/>
    <s v="Y"/>
    <x v="0"/>
    <n v="11"/>
    <n v="3"/>
    <n v="4"/>
    <n v="80"/>
    <n v="0"/>
    <n v="13"/>
    <n v="2"/>
    <x v="1"/>
    <n v="13"/>
    <n v="12"/>
    <n v="11"/>
    <n v="9"/>
    <x v="1"/>
    <x v="0"/>
  </r>
  <r>
    <n v="27"/>
    <x v="1"/>
    <s v="Travel_Rarely"/>
    <n v="1377"/>
    <x v="0"/>
    <n v="2"/>
    <n v="3"/>
    <s v="Life Sciences"/>
    <n v="1"/>
    <x v="320"/>
    <n v="4"/>
    <s v="Male"/>
    <n v="74"/>
    <n v="3"/>
    <n v="2"/>
    <x v="0"/>
    <x v="2"/>
    <s v="Single"/>
    <n v="4478"/>
    <n v="5242"/>
    <n v="1"/>
    <s v="Y"/>
    <x v="0"/>
    <n v="11"/>
    <n v="3"/>
    <n v="1"/>
    <n v="80"/>
    <n v="0"/>
    <n v="5"/>
    <n v="3"/>
    <x v="1"/>
    <n v="5"/>
    <n v="4"/>
    <n v="0"/>
    <n v="4"/>
    <x v="2"/>
    <x v="0"/>
  </r>
  <r>
    <n v="31"/>
    <x v="1"/>
    <s v="Travel_Rarely"/>
    <n v="691"/>
    <x v="0"/>
    <n v="7"/>
    <n v="3"/>
    <s v="Marketing"/>
    <n v="1"/>
    <x v="321"/>
    <n v="4"/>
    <s v="Male"/>
    <n v="73"/>
    <n v="3"/>
    <n v="2"/>
    <x v="0"/>
    <x v="0"/>
    <s v="Divorced"/>
    <n v="7547"/>
    <n v="7143"/>
    <n v="4"/>
    <s v="Y"/>
    <x v="1"/>
    <n v="12"/>
    <n v="3"/>
    <n v="4"/>
    <n v="80"/>
    <n v="3"/>
    <n v="13"/>
    <n v="3"/>
    <x v="1"/>
    <n v="7"/>
    <n v="7"/>
    <n v="1"/>
    <n v="7"/>
    <x v="1"/>
    <x v="2"/>
  </r>
  <r>
    <n v="32"/>
    <x v="1"/>
    <s v="Travel_Rarely"/>
    <n v="1018"/>
    <x v="1"/>
    <n v="2"/>
    <n v="4"/>
    <s v="Medical"/>
    <n v="1"/>
    <x v="322"/>
    <n v="1"/>
    <s v="Female"/>
    <n v="74"/>
    <n v="4"/>
    <n v="2"/>
    <x v="1"/>
    <x v="0"/>
    <s v="Single"/>
    <n v="5055"/>
    <n v="10557"/>
    <n v="7"/>
    <s v="Y"/>
    <x v="1"/>
    <n v="16"/>
    <n v="3"/>
    <n v="3"/>
    <n v="80"/>
    <n v="0"/>
    <n v="10"/>
    <n v="0"/>
    <x v="2"/>
    <n v="7"/>
    <n v="7"/>
    <n v="0"/>
    <n v="7"/>
    <x v="1"/>
    <x v="0"/>
  </r>
  <r>
    <n v="28"/>
    <x v="0"/>
    <s v="Travel_Rarely"/>
    <n v="1157"/>
    <x v="1"/>
    <n v="2"/>
    <n v="4"/>
    <s v="Medical"/>
    <n v="1"/>
    <x v="323"/>
    <n v="1"/>
    <s v="Male"/>
    <n v="84"/>
    <n v="1"/>
    <n v="1"/>
    <x v="1"/>
    <x v="0"/>
    <s v="Married"/>
    <n v="3464"/>
    <n v="24737"/>
    <n v="5"/>
    <s v="Y"/>
    <x v="0"/>
    <n v="13"/>
    <n v="3"/>
    <n v="4"/>
    <n v="80"/>
    <n v="0"/>
    <n v="5"/>
    <n v="4"/>
    <x v="2"/>
    <n v="3"/>
    <n v="2"/>
    <n v="2"/>
    <n v="2"/>
    <x v="2"/>
    <x v="1"/>
  </r>
  <r>
    <n v="30"/>
    <x v="1"/>
    <s v="Travel_Rarely"/>
    <n v="1275"/>
    <x v="1"/>
    <n v="28"/>
    <n v="2"/>
    <s v="Medical"/>
    <n v="1"/>
    <x v="324"/>
    <n v="4"/>
    <s v="Female"/>
    <n v="64"/>
    <n v="3"/>
    <n v="2"/>
    <x v="1"/>
    <x v="0"/>
    <s v="Married"/>
    <n v="5775"/>
    <n v="11934"/>
    <n v="1"/>
    <s v="Y"/>
    <x v="1"/>
    <n v="13"/>
    <n v="3"/>
    <n v="4"/>
    <n v="80"/>
    <n v="2"/>
    <n v="11"/>
    <n v="2"/>
    <x v="1"/>
    <n v="10"/>
    <n v="8"/>
    <n v="1"/>
    <n v="9"/>
    <x v="1"/>
    <x v="0"/>
  </r>
  <r>
    <n v="31"/>
    <x v="1"/>
    <s v="Travel_Frequently"/>
    <n v="798"/>
    <x v="1"/>
    <n v="7"/>
    <n v="2"/>
    <s v="Life Sciences"/>
    <n v="1"/>
    <x v="325"/>
    <n v="3"/>
    <s v="Female"/>
    <n v="48"/>
    <n v="2"/>
    <n v="3"/>
    <x v="3"/>
    <x v="2"/>
    <s v="Married"/>
    <n v="8943"/>
    <n v="14034"/>
    <n v="1"/>
    <s v="Y"/>
    <x v="1"/>
    <n v="24"/>
    <n v="4"/>
    <n v="1"/>
    <n v="80"/>
    <n v="1"/>
    <n v="10"/>
    <n v="2"/>
    <x v="1"/>
    <n v="10"/>
    <n v="9"/>
    <n v="8"/>
    <n v="9"/>
    <x v="1"/>
    <x v="2"/>
  </r>
  <r>
    <n v="39"/>
    <x v="1"/>
    <s v="Travel_Frequently"/>
    <n v="672"/>
    <x v="1"/>
    <n v="7"/>
    <n v="2"/>
    <s v="Medical"/>
    <n v="1"/>
    <x v="326"/>
    <n v="3"/>
    <s v="Male"/>
    <n v="54"/>
    <n v="2"/>
    <n v="5"/>
    <x v="5"/>
    <x v="0"/>
    <s v="Married"/>
    <n v="19272"/>
    <n v="21141"/>
    <n v="1"/>
    <s v="Y"/>
    <x v="1"/>
    <n v="15"/>
    <n v="3"/>
    <n v="1"/>
    <n v="80"/>
    <n v="1"/>
    <n v="21"/>
    <n v="2"/>
    <x v="1"/>
    <n v="21"/>
    <n v="9"/>
    <n v="13"/>
    <n v="3"/>
    <x v="1"/>
    <x v="2"/>
  </r>
  <r>
    <n v="39"/>
    <x v="0"/>
    <s v="Travel_Rarely"/>
    <n v="1162"/>
    <x v="0"/>
    <n v="3"/>
    <n v="2"/>
    <s v="Medical"/>
    <n v="1"/>
    <x v="327"/>
    <n v="4"/>
    <s v="Female"/>
    <n v="41"/>
    <n v="3"/>
    <n v="2"/>
    <x v="0"/>
    <x v="2"/>
    <s v="Married"/>
    <n v="5238"/>
    <n v="17778"/>
    <n v="4"/>
    <s v="Y"/>
    <x v="0"/>
    <n v="18"/>
    <n v="3"/>
    <n v="1"/>
    <n v="80"/>
    <n v="0"/>
    <n v="12"/>
    <n v="3"/>
    <x v="2"/>
    <n v="1"/>
    <n v="0"/>
    <n v="0"/>
    <n v="0"/>
    <x v="1"/>
    <x v="0"/>
  </r>
  <r>
    <n v="33"/>
    <x v="1"/>
    <s v="Travel_Frequently"/>
    <n v="508"/>
    <x v="0"/>
    <n v="10"/>
    <n v="3"/>
    <s v="Marketing"/>
    <n v="1"/>
    <x v="328"/>
    <n v="2"/>
    <s v="Male"/>
    <n v="46"/>
    <n v="2"/>
    <n v="2"/>
    <x v="0"/>
    <x v="0"/>
    <s v="Single"/>
    <n v="4682"/>
    <n v="4317"/>
    <n v="3"/>
    <s v="Y"/>
    <x v="1"/>
    <n v="14"/>
    <n v="3"/>
    <n v="3"/>
    <n v="80"/>
    <n v="0"/>
    <n v="9"/>
    <n v="6"/>
    <x v="2"/>
    <n v="7"/>
    <n v="7"/>
    <n v="0"/>
    <n v="1"/>
    <x v="1"/>
    <x v="0"/>
  </r>
  <r>
    <n v="47"/>
    <x v="1"/>
    <s v="Travel_Rarely"/>
    <n v="1482"/>
    <x v="1"/>
    <n v="5"/>
    <n v="5"/>
    <s v="Life Sciences"/>
    <n v="1"/>
    <x v="329"/>
    <n v="4"/>
    <s v="Male"/>
    <n v="42"/>
    <n v="3"/>
    <n v="5"/>
    <x v="7"/>
    <x v="2"/>
    <s v="Married"/>
    <n v="18300"/>
    <n v="16375"/>
    <n v="4"/>
    <s v="Y"/>
    <x v="1"/>
    <n v="11"/>
    <n v="3"/>
    <n v="2"/>
    <n v="80"/>
    <n v="1"/>
    <n v="21"/>
    <n v="2"/>
    <x v="1"/>
    <n v="3"/>
    <n v="2"/>
    <n v="1"/>
    <n v="1"/>
    <x v="0"/>
    <x v="2"/>
  </r>
  <r>
    <n v="43"/>
    <x v="1"/>
    <s v="Travel_Frequently"/>
    <n v="559"/>
    <x v="1"/>
    <n v="10"/>
    <n v="4"/>
    <s v="Life Sciences"/>
    <n v="1"/>
    <x v="330"/>
    <n v="3"/>
    <s v="Female"/>
    <n v="82"/>
    <n v="2"/>
    <n v="2"/>
    <x v="2"/>
    <x v="2"/>
    <s v="Divorced"/>
    <n v="5257"/>
    <n v="6227"/>
    <n v="1"/>
    <s v="Y"/>
    <x v="1"/>
    <n v="11"/>
    <n v="3"/>
    <n v="2"/>
    <n v="80"/>
    <n v="1"/>
    <n v="9"/>
    <n v="3"/>
    <x v="3"/>
    <n v="9"/>
    <n v="7"/>
    <n v="0"/>
    <n v="0"/>
    <x v="0"/>
    <x v="0"/>
  </r>
  <r>
    <n v="27"/>
    <x v="1"/>
    <s v="Non-Travel"/>
    <n v="210"/>
    <x v="0"/>
    <n v="1"/>
    <n v="1"/>
    <s v="Marketing"/>
    <n v="1"/>
    <x v="331"/>
    <n v="3"/>
    <s v="Male"/>
    <n v="73"/>
    <n v="3"/>
    <n v="2"/>
    <x v="0"/>
    <x v="1"/>
    <s v="Married"/>
    <n v="6349"/>
    <n v="22107"/>
    <n v="0"/>
    <s v="Y"/>
    <x v="0"/>
    <n v="13"/>
    <n v="3"/>
    <n v="4"/>
    <n v="80"/>
    <n v="1"/>
    <n v="6"/>
    <n v="0"/>
    <x v="1"/>
    <n v="5"/>
    <n v="4"/>
    <n v="1"/>
    <n v="4"/>
    <x v="2"/>
    <x v="0"/>
  </r>
  <r>
    <n v="54"/>
    <x v="1"/>
    <s v="Travel_Frequently"/>
    <n v="928"/>
    <x v="1"/>
    <n v="20"/>
    <n v="4"/>
    <s v="Life Sciences"/>
    <n v="1"/>
    <x v="332"/>
    <n v="4"/>
    <s v="Female"/>
    <n v="31"/>
    <n v="3"/>
    <n v="2"/>
    <x v="1"/>
    <x v="2"/>
    <s v="Single"/>
    <n v="4869"/>
    <n v="16885"/>
    <n v="3"/>
    <s v="Y"/>
    <x v="1"/>
    <n v="12"/>
    <n v="3"/>
    <n v="4"/>
    <n v="80"/>
    <n v="0"/>
    <n v="20"/>
    <n v="4"/>
    <x v="2"/>
    <n v="4"/>
    <n v="3"/>
    <n v="0"/>
    <n v="3"/>
    <x v="3"/>
    <x v="0"/>
  </r>
  <r>
    <n v="43"/>
    <x v="1"/>
    <s v="Travel_Rarely"/>
    <n v="1001"/>
    <x v="1"/>
    <n v="7"/>
    <n v="3"/>
    <s v="Life Sciences"/>
    <n v="1"/>
    <x v="333"/>
    <n v="3"/>
    <s v="Female"/>
    <n v="43"/>
    <n v="3"/>
    <n v="3"/>
    <x v="4"/>
    <x v="3"/>
    <s v="Married"/>
    <n v="9985"/>
    <n v="9262"/>
    <n v="8"/>
    <s v="Y"/>
    <x v="1"/>
    <n v="16"/>
    <n v="3"/>
    <n v="1"/>
    <n v="80"/>
    <n v="1"/>
    <n v="10"/>
    <n v="1"/>
    <x v="2"/>
    <n v="1"/>
    <n v="0"/>
    <n v="0"/>
    <n v="0"/>
    <x v="0"/>
    <x v="2"/>
  </r>
  <r>
    <n v="45"/>
    <x v="1"/>
    <s v="Travel_Rarely"/>
    <n v="549"/>
    <x v="1"/>
    <n v="8"/>
    <n v="4"/>
    <s v="Other"/>
    <n v="1"/>
    <x v="334"/>
    <n v="4"/>
    <s v="Male"/>
    <n v="75"/>
    <n v="3"/>
    <n v="2"/>
    <x v="1"/>
    <x v="0"/>
    <s v="Married"/>
    <n v="3697"/>
    <n v="9278"/>
    <n v="9"/>
    <s v="Y"/>
    <x v="1"/>
    <n v="14"/>
    <n v="3"/>
    <n v="1"/>
    <n v="80"/>
    <n v="2"/>
    <n v="12"/>
    <n v="3"/>
    <x v="1"/>
    <n v="10"/>
    <n v="9"/>
    <n v="9"/>
    <n v="8"/>
    <x v="0"/>
    <x v="1"/>
  </r>
  <r>
    <n v="40"/>
    <x v="1"/>
    <s v="Travel_Rarely"/>
    <n v="1124"/>
    <x v="0"/>
    <n v="1"/>
    <n v="2"/>
    <s v="Medical"/>
    <n v="1"/>
    <x v="335"/>
    <n v="2"/>
    <s v="Male"/>
    <n v="57"/>
    <n v="1"/>
    <n v="2"/>
    <x v="0"/>
    <x v="0"/>
    <s v="Married"/>
    <n v="7457"/>
    <n v="13273"/>
    <n v="2"/>
    <s v="Y"/>
    <x v="0"/>
    <n v="22"/>
    <n v="4"/>
    <n v="3"/>
    <n v="80"/>
    <n v="3"/>
    <n v="6"/>
    <n v="2"/>
    <x v="2"/>
    <n v="4"/>
    <n v="3"/>
    <n v="0"/>
    <n v="2"/>
    <x v="1"/>
    <x v="2"/>
  </r>
  <r>
    <n v="29"/>
    <x v="0"/>
    <s v="Travel_Rarely"/>
    <n v="318"/>
    <x v="1"/>
    <n v="8"/>
    <n v="4"/>
    <s v="Other"/>
    <n v="1"/>
    <x v="336"/>
    <n v="2"/>
    <s v="Male"/>
    <n v="77"/>
    <n v="1"/>
    <n v="1"/>
    <x v="2"/>
    <x v="3"/>
    <s v="Married"/>
    <n v="2119"/>
    <n v="4759"/>
    <n v="1"/>
    <s v="Y"/>
    <x v="0"/>
    <n v="11"/>
    <n v="3"/>
    <n v="4"/>
    <n v="80"/>
    <n v="0"/>
    <n v="7"/>
    <n v="4"/>
    <x v="2"/>
    <n v="7"/>
    <n v="7"/>
    <n v="0"/>
    <n v="7"/>
    <x v="2"/>
    <x v="1"/>
  </r>
  <r>
    <n v="29"/>
    <x v="1"/>
    <s v="Travel_Rarely"/>
    <n v="738"/>
    <x v="1"/>
    <n v="9"/>
    <n v="5"/>
    <s v="Other"/>
    <n v="1"/>
    <x v="337"/>
    <n v="2"/>
    <s v="Male"/>
    <n v="30"/>
    <n v="2"/>
    <n v="1"/>
    <x v="2"/>
    <x v="0"/>
    <s v="Single"/>
    <n v="3983"/>
    <n v="7621"/>
    <n v="0"/>
    <s v="Y"/>
    <x v="1"/>
    <n v="17"/>
    <n v="3"/>
    <n v="3"/>
    <n v="80"/>
    <n v="0"/>
    <n v="4"/>
    <n v="2"/>
    <x v="1"/>
    <n v="3"/>
    <n v="2"/>
    <n v="2"/>
    <n v="2"/>
    <x v="2"/>
    <x v="1"/>
  </r>
  <r>
    <n v="30"/>
    <x v="1"/>
    <s v="Travel_Rarely"/>
    <n v="570"/>
    <x v="0"/>
    <n v="5"/>
    <n v="3"/>
    <s v="Marketing"/>
    <n v="1"/>
    <x v="338"/>
    <n v="4"/>
    <s v="Female"/>
    <n v="30"/>
    <n v="2"/>
    <n v="2"/>
    <x v="0"/>
    <x v="2"/>
    <s v="Divorced"/>
    <n v="6118"/>
    <n v="5431"/>
    <n v="1"/>
    <s v="Y"/>
    <x v="1"/>
    <n v="13"/>
    <n v="3"/>
    <n v="3"/>
    <n v="80"/>
    <n v="3"/>
    <n v="10"/>
    <n v="2"/>
    <x v="1"/>
    <n v="10"/>
    <n v="9"/>
    <n v="1"/>
    <n v="2"/>
    <x v="1"/>
    <x v="0"/>
  </r>
  <r>
    <n v="27"/>
    <x v="1"/>
    <s v="Travel_Rarely"/>
    <n v="1130"/>
    <x v="0"/>
    <n v="8"/>
    <n v="4"/>
    <s v="Marketing"/>
    <n v="1"/>
    <x v="339"/>
    <n v="2"/>
    <s v="Female"/>
    <n v="56"/>
    <n v="3"/>
    <n v="2"/>
    <x v="0"/>
    <x v="1"/>
    <s v="Married"/>
    <n v="6214"/>
    <n v="3415"/>
    <n v="1"/>
    <s v="Y"/>
    <x v="1"/>
    <n v="18"/>
    <n v="3"/>
    <n v="1"/>
    <n v="80"/>
    <n v="1"/>
    <n v="8"/>
    <n v="3"/>
    <x v="1"/>
    <n v="8"/>
    <n v="7"/>
    <n v="0"/>
    <n v="7"/>
    <x v="2"/>
    <x v="0"/>
  </r>
  <r>
    <n v="37"/>
    <x v="1"/>
    <s v="Travel_Rarely"/>
    <n v="1192"/>
    <x v="1"/>
    <n v="5"/>
    <n v="2"/>
    <s v="Medical"/>
    <n v="1"/>
    <x v="340"/>
    <n v="4"/>
    <s v="Male"/>
    <n v="61"/>
    <n v="3"/>
    <n v="2"/>
    <x v="3"/>
    <x v="0"/>
    <s v="Divorced"/>
    <n v="6347"/>
    <n v="23177"/>
    <n v="7"/>
    <s v="Y"/>
    <x v="1"/>
    <n v="16"/>
    <n v="3"/>
    <n v="3"/>
    <n v="80"/>
    <n v="2"/>
    <n v="8"/>
    <n v="2"/>
    <x v="2"/>
    <n v="6"/>
    <n v="2"/>
    <n v="0"/>
    <n v="4"/>
    <x v="1"/>
    <x v="0"/>
  </r>
  <r>
    <n v="38"/>
    <x v="1"/>
    <s v="Travel_Rarely"/>
    <n v="343"/>
    <x v="1"/>
    <n v="15"/>
    <n v="2"/>
    <s v="Life Sciences"/>
    <n v="1"/>
    <x v="341"/>
    <n v="3"/>
    <s v="Male"/>
    <n v="92"/>
    <n v="2"/>
    <n v="3"/>
    <x v="7"/>
    <x v="0"/>
    <s v="Divorced"/>
    <n v="11510"/>
    <n v="15682"/>
    <n v="0"/>
    <s v="Y"/>
    <x v="0"/>
    <n v="14"/>
    <n v="3"/>
    <n v="2"/>
    <n v="80"/>
    <n v="1"/>
    <n v="12"/>
    <n v="3"/>
    <x v="1"/>
    <n v="11"/>
    <n v="10"/>
    <n v="2"/>
    <n v="9"/>
    <x v="1"/>
    <x v="2"/>
  </r>
  <r>
    <n v="31"/>
    <x v="1"/>
    <s v="Travel_Rarely"/>
    <n v="1232"/>
    <x v="1"/>
    <n v="7"/>
    <n v="4"/>
    <s v="Medical"/>
    <n v="1"/>
    <x v="342"/>
    <n v="3"/>
    <s v="Female"/>
    <n v="39"/>
    <n v="3"/>
    <n v="3"/>
    <x v="3"/>
    <x v="0"/>
    <s v="Single"/>
    <n v="7143"/>
    <n v="25713"/>
    <n v="1"/>
    <s v="Y"/>
    <x v="0"/>
    <n v="14"/>
    <n v="3"/>
    <n v="3"/>
    <n v="80"/>
    <n v="0"/>
    <n v="11"/>
    <n v="2"/>
    <x v="2"/>
    <n v="11"/>
    <n v="9"/>
    <n v="4"/>
    <n v="10"/>
    <x v="1"/>
    <x v="2"/>
  </r>
  <r>
    <n v="29"/>
    <x v="1"/>
    <s v="Travel_Rarely"/>
    <n v="144"/>
    <x v="0"/>
    <n v="10"/>
    <n v="1"/>
    <s v="Marketing"/>
    <n v="1"/>
    <x v="343"/>
    <n v="4"/>
    <s v="Female"/>
    <n v="39"/>
    <n v="2"/>
    <n v="2"/>
    <x v="0"/>
    <x v="1"/>
    <s v="Divorced"/>
    <n v="8268"/>
    <n v="11866"/>
    <n v="1"/>
    <s v="Y"/>
    <x v="0"/>
    <n v="14"/>
    <n v="3"/>
    <n v="1"/>
    <n v="80"/>
    <n v="2"/>
    <n v="7"/>
    <n v="2"/>
    <x v="1"/>
    <n v="7"/>
    <n v="7"/>
    <n v="1"/>
    <n v="7"/>
    <x v="2"/>
    <x v="2"/>
  </r>
  <r>
    <n v="35"/>
    <x v="1"/>
    <s v="Travel_Rarely"/>
    <n v="1296"/>
    <x v="1"/>
    <n v="5"/>
    <n v="4"/>
    <s v="Technical Degree"/>
    <n v="1"/>
    <x v="344"/>
    <n v="3"/>
    <s v="Male"/>
    <n v="62"/>
    <n v="3"/>
    <n v="3"/>
    <x v="3"/>
    <x v="1"/>
    <s v="Single"/>
    <n v="8095"/>
    <n v="18264"/>
    <n v="0"/>
    <s v="Y"/>
    <x v="1"/>
    <n v="13"/>
    <n v="3"/>
    <n v="4"/>
    <n v="80"/>
    <n v="0"/>
    <n v="17"/>
    <n v="5"/>
    <x v="1"/>
    <n v="16"/>
    <n v="6"/>
    <n v="0"/>
    <n v="13"/>
    <x v="1"/>
    <x v="2"/>
  </r>
  <r>
    <n v="23"/>
    <x v="1"/>
    <s v="Travel_Rarely"/>
    <n v="1309"/>
    <x v="1"/>
    <n v="26"/>
    <n v="1"/>
    <s v="Life Sciences"/>
    <n v="1"/>
    <x v="345"/>
    <n v="3"/>
    <s v="Male"/>
    <n v="83"/>
    <n v="3"/>
    <n v="1"/>
    <x v="1"/>
    <x v="0"/>
    <s v="Divorced"/>
    <n v="2904"/>
    <n v="16092"/>
    <n v="1"/>
    <s v="Y"/>
    <x v="1"/>
    <n v="12"/>
    <n v="3"/>
    <n v="3"/>
    <n v="80"/>
    <n v="2"/>
    <n v="4"/>
    <n v="2"/>
    <x v="2"/>
    <n v="4"/>
    <n v="2"/>
    <n v="0"/>
    <n v="2"/>
    <x v="2"/>
    <x v="1"/>
  </r>
  <r>
    <n v="41"/>
    <x v="1"/>
    <s v="Travel_Rarely"/>
    <n v="483"/>
    <x v="1"/>
    <n v="6"/>
    <n v="3"/>
    <s v="Medical"/>
    <n v="1"/>
    <x v="346"/>
    <n v="4"/>
    <s v="Male"/>
    <n v="95"/>
    <n v="2"/>
    <n v="2"/>
    <x v="3"/>
    <x v="1"/>
    <s v="Single"/>
    <n v="6032"/>
    <n v="10110"/>
    <n v="6"/>
    <s v="Y"/>
    <x v="0"/>
    <n v="15"/>
    <n v="3"/>
    <n v="4"/>
    <n v="80"/>
    <n v="0"/>
    <n v="8"/>
    <n v="3"/>
    <x v="1"/>
    <n v="5"/>
    <n v="4"/>
    <n v="1"/>
    <n v="2"/>
    <x v="0"/>
    <x v="0"/>
  </r>
  <r>
    <n v="47"/>
    <x v="1"/>
    <s v="Travel_Frequently"/>
    <n v="1309"/>
    <x v="0"/>
    <n v="4"/>
    <n v="1"/>
    <s v="Medical"/>
    <n v="1"/>
    <x v="347"/>
    <n v="2"/>
    <s v="Male"/>
    <n v="99"/>
    <n v="3"/>
    <n v="2"/>
    <x v="6"/>
    <x v="2"/>
    <s v="Single"/>
    <n v="2976"/>
    <n v="25751"/>
    <n v="3"/>
    <s v="Y"/>
    <x v="1"/>
    <n v="19"/>
    <n v="3"/>
    <n v="1"/>
    <n v="80"/>
    <n v="0"/>
    <n v="5"/>
    <n v="3"/>
    <x v="1"/>
    <n v="0"/>
    <n v="0"/>
    <n v="0"/>
    <n v="0"/>
    <x v="0"/>
    <x v="1"/>
  </r>
  <r>
    <n v="42"/>
    <x v="1"/>
    <s v="Travel_Rarely"/>
    <n v="810"/>
    <x v="1"/>
    <n v="23"/>
    <n v="5"/>
    <s v="Life Sciences"/>
    <n v="1"/>
    <x v="348"/>
    <n v="1"/>
    <s v="Female"/>
    <n v="44"/>
    <n v="3"/>
    <n v="4"/>
    <x v="7"/>
    <x v="0"/>
    <s v="Single"/>
    <n v="15992"/>
    <n v="15901"/>
    <n v="2"/>
    <s v="Y"/>
    <x v="1"/>
    <n v="14"/>
    <n v="3"/>
    <n v="2"/>
    <n v="80"/>
    <n v="0"/>
    <n v="16"/>
    <n v="2"/>
    <x v="1"/>
    <n v="1"/>
    <n v="0"/>
    <n v="0"/>
    <n v="0"/>
    <x v="0"/>
    <x v="2"/>
  </r>
  <r>
    <n v="29"/>
    <x v="1"/>
    <s v="Non-Travel"/>
    <n v="746"/>
    <x v="0"/>
    <n v="2"/>
    <n v="3"/>
    <s v="Life Sciences"/>
    <n v="1"/>
    <x v="349"/>
    <n v="4"/>
    <s v="Male"/>
    <n v="61"/>
    <n v="3"/>
    <n v="2"/>
    <x v="0"/>
    <x v="2"/>
    <s v="Married"/>
    <n v="4649"/>
    <n v="16928"/>
    <n v="1"/>
    <s v="Y"/>
    <x v="1"/>
    <n v="14"/>
    <n v="3"/>
    <n v="1"/>
    <n v="80"/>
    <n v="1"/>
    <n v="4"/>
    <n v="3"/>
    <x v="2"/>
    <n v="4"/>
    <n v="3"/>
    <n v="0"/>
    <n v="2"/>
    <x v="2"/>
    <x v="0"/>
  </r>
  <r>
    <n v="42"/>
    <x v="1"/>
    <s v="Travel_Rarely"/>
    <n v="544"/>
    <x v="2"/>
    <n v="2"/>
    <n v="1"/>
    <s v="Technical Degree"/>
    <n v="1"/>
    <x v="350"/>
    <n v="3"/>
    <s v="Male"/>
    <n v="52"/>
    <n v="3"/>
    <n v="1"/>
    <x v="8"/>
    <x v="2"/>
    <s v="Divorced"/>
    <n v="2696"/>
    <n v="24017"/>
    <n v="0"/>
    <s v="Y"/>
    <x v="0"/>
    <n v="11"/>
    <n v="3"/>
    <n v="3"/>
    <n v="80"/>
    <n v="1"/>
    <n v="4"/>
    <n v="5"/>
    <x v="1"/>
    <n v="3"/>
    <n v="2"/>
    <n v="1"/>
    <n v="0"/>
    <x v="0"/>
    <x v="1"/>
  </r>
  <r>
    <n v="32"/>
    <x v="1"/>
    <s v="Travel_Rarely"/>
    <n v="1062"/>
    <x v="1"/>
    <n v="2"/>
    <n v="3"/>
    <s v="Medical"/>
    <n v="1"/>
    <x v="351"/>
    <n v="3"/>
    <s v="Female"/>
    <n v="75"/>
    <n v="3"/>
    <n v="1"/>
    <x v="2"/>
    <x v="1"/>
    <s v="Married"/>
    <n v="2370"/>
    <n v="3956"/>
    <n v="1"/>
    <s v="Y"/>
    <x v="1"/>
    <n v="13"/>
    <n v="3"/>
    <n v="3"/>
    <n v="80"/>
    <n v="1"/>
    <n v="8"/>
    <n v="4"/>
    <x v="1"/>
    <n v="8"/>
    <n v="0"/>
    <n v="0"/>
    <n v="7"/>
    <x v="1"/>
    <x v="1"/>
  </r>
  <r>
    <n v="48"/>
    <x v="1"/>
    <s v="Travel_Rarely"/>
    <n v="530"/>
    <x v="0"/>
    <n v="29"/>
    <n v="1"/>
    <s v="Medical"/>
    <n v="1"/>
    <x v="352"/>
    <n v="1"/>
    <s v="Female"/>
    <n v="91"/>
    <n v="3"/>
    <n v="3"/>
    <x v="5"/>
    <x v="2"/>
    <s v="Married"/>
    <n v="12504"/>
    <n v="23978"/>
    <n v="3"/>
    <s v="Y"/>
    <x v="1"/>
    <n v="21"/>
    <n v="4"/>
    <n v="2"/>
    <n v="80"/>
    <n v="1"/>
    <n v="15"/>
    <n v="3"/>
    <x v="0"/>
    <n v="0"/>
    <n v="0"/>
    <n v="0"/>
    <n v="0"/>
    <x v="0"/>
    <x v="2"/>
  </r>
  <r>
    <n v="37"/>
    <x v="1"/>
    <s v="Travel_Rarely"/>
    <n v="1319"/>
    <x v="1"/>
    <n v="6"/>
    <n v="3"/>
    <s v="Medical"/>
    <n v="1"/>
    <x v="353"/>
    <n v="3"/>
    <s v="Male"/>
    <n v="51"/>
    <n v="4"/>
    <n v="2"/>
    <x v="1"/>
    <x v="3"/>
    <s v="Divorced"/>
    <n v="5974"/>
    <n v="17001"/>
    <n v="4"/>
    <s v="Y"/>
    <x v="0"/>
    <n v="13"/>
    <n v="3"/>
    <n v="1"/>
    <n v="80"/>
    <n v="2"/>
    <n v="13"/>
    <n v="2"/>
    <x v="1"/>
    <n v="7"/>
    <n v="7"/>
    <n v="6"/>
    <n v="7"/>
    <x v="1"/>
    <x v="0"/>
  </r>
  <r>
    <n v="30"/>
    <x v="1"/>
    <s v="Non-Travel"/>
    <n v="641"/>
    <x v="0"/>
    <n v="25"/>
    <n v="2"/>
    <s v="Technical Degree"/>
    <n v="1"/>
    <x v="354"/>
    <n v="4"/>
    <s v="Female"/>
    <n v="85"/>
    <n v="3"/>
    <n v="2"/>
    <x v="0"/>
    <x v="2"/>
    <s v="Married"/>
    <n v="4736"/>
    <n v="6069"/>
    <n v="7"/>
    <s v="Y"/>
    <x v="0"/>
    <n v="12"/>
    <n v="3"/>
    <n v="2"/>
    <n v="80"/>
    <n v="1"/>
    <n v="4"/>
    <n v="2"/>
    <x v="3"/>
    <n v="2"/>
    <n v="2"/>
    <n v="2"/>
    <n v="2"/>
    <x v="1"/>
    <x v="0"/>
  </r>
  <r>
    <n v="26"/>
    <x v="1"/>
    <s v="Travel_Rarely"/>
    <n v="933"/>
    <x v="0"/>
    <n v="1"/>
    <n v="3"/>
    <s v="Life Sciences"/>
    <n v="1"/>
    <x v="355"/>
    <n v="3"/>
    <s v="Male"/>
    <n v="57"/>
    <n v="3"/>
    <n v="2"/>
    <x v="0"/>
    <x v="2"/>
    <s v="Married"/>
    <n v="5296"/>
    <n v="20156"/>
    <n v="1"/>
    <s v="Y"/>
    <x v="1"/>
    <n v="17"/>
    <n v="3"/>
    <n v="2"/>
    <n v="80"/>
    <n v="1"/>
    <n v="8"/>
    <n v="3"/>
    <x v="1"/>
    <n v="8"/>
    <n v="7"/>
    <n v="7"/>
    <n v="7"/>
    <x v="2"/>
    <x v="0"/>
  </r>
  <r>
    <n v="42"/>
    <x v="1"/>
    <s v="Travel_Rarely"/>
    <n v="1332"/>
    <x v="1"/>
    <n v="2"/>
    <n v="4"/>
    <s v="Other"/>
    <n v="1"/>
    <x v="356"/>
    <n v="1"/>
    <s v="Male"/>
    <n v="98"/>
    <n v="2"/>
    <n v="2"/>
    <x v="4"/>
    <x v="0"/>
    <s v="Single"/>
    <n v="6781"/>
    <n v="17078"/>
    <n v="3"/>
    <s v="Y"/>
    <x v="1"/>
    <n v="23"/>
    <n v="4"/>
    <n v="2"/>
    <n v="80"/>
    <n v="0"/>
    <n v="14"/>
    <n v="6"/>
    <x v="1"/>
    <n v="1"/>
    <n v="0"/>
    <n v="0"/>
    <n v="0"/>
    <x v="0"/>
    <x v="0"/>
  </r>
  <r>
    <n v="21"/>
    <x v="0"/>
    <s v="Travel_Frequently"/>
    <n v="756"/>
    <x v="0"/>
    <n v="1"/>
    <n v="1"/>
    <s v="Technical Degree"/>
    <n v="1"/>
    <x v="357"/>
    <n v="1"/>
    <s v="Female"/>
    <n v="99"/>
    <n v="2"/>
    <n v="1"/>
    <x v="6"/>
    <x v="1"/>
    <s v="Single"/>
    <n v="2174"/>
    <n v="9150"/>
    <n v="1"/>
    <s v="Y"/>
    <x v="0"/>
    <n v="11"/>
    <n v="3"/>
    <n v="3"/>
    <n v="80"/>
    <n v="0"/>
    <n v="3"/>
    <n v="3"/>
    <x v="1"/>
    <n v="3"/>
    <n v="2"/>
    <n v="1"/>
    <n v="2"/>
    <x v="2"/>
    <x v="1"/>
  </r>
  <r>
    <n v="36"/>
    <x v="1"/>
    <s v="Non-Travel"/>
    <n v="845"/>
    <x v="0"/>
    <n v="1"/>
    <n v="5"/>
    <s v="Medical"/>
    <n v="1"/>
    <x v="358"/>
    <n v="4"/>
    <s v="Female"/>
    <n v="45"/>
    <n v="3"/>
    <n v="2"/>
    <x v="0"/>
    <x v="0"/>
    <s v="Single"/>
    <n v="6653"/>
    <n v="15276"/>
    <n v="4"/>
    <s v="Y"/>
    <x v="1"/>
    <n v="15"/>
    <n v="3"/>
    <n v="2"/>
    <n v="80"/>
    <n v="0"/>
    <n v="7"/>
    <n v="6"/>
    <x v="1"/>
    <n v="1"/>
    <n v="0"/>
    <n v="0"/>
    <n v="0"/>
    <x v="1"/>
    <x v="0"/>
  </r>
  <r>
    <n v="36"/>
    <x v="1"/>
    <s v="Travel_Frequently"/>
    <n v="541"/>
    <x v="0"/>
    <n v="3"/>
    <n v="4"/>
    <s v="Medical"/>
    <n v="1"/>
    <x v="359"/>
    <n v="1"/>
    <s v="Male"/>
    <n v="48"/>
    <n v="2"/>
    <n v="3"/>
    <x v="0"/>
    <x v="0"/>
    <s v="Married"/>
    <n v="9699"/>
    <n v="7246"/>
    <n v="4"/>
    <s v="Y"/>
    <x v="1"/>
    <n v="11"/>
    <n v="3"/>
    <n v="1"/>
    <n v="80"/>
    <n v="1"/>
    <n v="16"/>
    <n v="2"/>
    <x v="1"/>
    <n v="13"/>
    <n v="9"/>
    <n v="1"/>
    <n v="12"/>
    <x v="1"/>
    <x v="2"/>
  </r>
  <r>
    <n v="57"/>
    <x v="1"/>
    <s v="Travel_Rarely"/>
    <n v="593"/>
    <x v="1"/>
    <n v="1"/>
    <n v="4"/>
    <s v="Medical"/>
    <n v="1"/>
    <x v="360"/>
    <n v="4"/>
    <s v="Male"/>
    <n v="88"/>
    <n v="3"/>
    <n v="2"/>
    <x v="4"/>
    <x v="2"/>
    <s v="Married"/>
    <n v="6755"/>
    <n v="2967"/>
    <n v="2"/>
    <s v="Y"/>
    <x v="1"/>
    <n v="11"/>
    <n v="3"/>
    <n v="3"/>
    <n v="80"/>
    <n v="0"/>
    <n v="15"/>
    <n v="2"/>
    <x v="1"/>
    <n v="3"/>
    <n v="2"/>
    <n v="1"/>
    <n v="2"/>
    <x v="3"/>
    <x v="0"/>
  </r>
  <r>
    <n v="40"/>
    <x v="1"/>
    <s v="Travel_Rarely"/>
    <n v="1171"/>
    <x v="1"/>
    <n v="10"/>
    <n v="4"/>
    <s v="Life Sciences"/>
    <n v="1"/>
    <x v="361"/>
    <n v="4"/>
    <s v="Female"/>
    <n v="46"/>
    <n v="4"/>
    <n v="1"/>
    <x v="2"/>
    <x v="2"/>
    <s v="Married"/>
    <n v="2213"/>
    <n v="22495"/>
    <n v="3"/>
    <s v="Y"/>
    <x v="0"/>
    <n v="13"/>
    <n v="3"/>
    <n v="3"/>
    <n v="80"/>
    <n v="1"/>
    <n v="10"/>
    <n v="3"/>
    <x v="1"/>
    <n v="7"/>
    <n v="7"/>
    <n v="1"/>
    <n v="7"/>
    <x v="1"/>
    <x v="1"/>
  </r>
  <r>
    <n v="21"/>
    <x v="1"/>
    <s v="Non-Travel"/>
    <n v="895"/>
    <x v="0"/>
    <n v="9"/>
    <n v="2"/>
    <s v="Medical"/>
    <n v="1"/>
    <x v="362"/>
    <n v="1"/>
    <s v="Male"/>
    <n v="39"/>
    <n v="3"/>
    <n v="1"/>
    <x v="6"/>
    <x v="0"/>
    <s v="Single"/>
    <n v="2610"/>
    <n v="2851"/>
    <n v="1"/>
    <s v="Y"/>
    <x v="1"/>
    <n v="24"/>
    <n v="4"/>
    <n v="3"/>
    <n v="80"/>
    <n v="0"/>
    <n v="3"/>
    <n v="3"/>
    <x v="2"/>
    <n v="3"/>
    <n v="2"/>
    <n v="2"/>
    <n v="2"/>
    <x v="2"/>
    <x v="1"/>
  </r>
  <r>
    <n v="33"/>
    <x v="0"/>
    <s v="Travel_Rarely"/>
    <n v="350"/>
    <x v="0"/>
    <n v="5"/>
    <n v="3"/>
    <s v="Marketing"/>
    <n v="1"/>
    <x v="363"/>
    <n v="4"/>
    <s v="Female"/>
    <n v="34"/>
    <n v="3"/>
    <n v="1"/>
    <x v="6"/>
    <x v="2"/>
    <s v="Single"/>
    <n v="2851"/>
    <n v="9150"/>
    <n v="1"/>
    <s v="Y"/>
    <x v="0"/>
    <n v="13"/>
    <n v="3"/>
    <n v="2"/>
    <n v="80"/>
    <n v="0"/>
    <n v="1"/>
    <n v="2"/>
    <x v="1"/>
    <n v="1"/>
    <n v="0"/>
    <n v="0"/>
    <n v="0"/>
    <x v="1"/>
    <x v="1"/>
  </r>
  <r>
    <n v="37"/>
    <x v="1"/>
    <s v="Travel_Rarely"/>
    <n v="921"/>
    <x v="1"/>
    <n v="10"/>
    <n v="3"/>
    <s v="Medical"/>
    <n v="1"/>
    <x v="364"/>
    <n v="3"/>
    <s v="Female"/>
    <n v="98"/>
    <n v="3"/>
    <n v="1"/>
    <x v="2"/>
    <x v="3"/>
    <s v="Married"/>
    <n v="3452"/>
    <n v="17663"/>
    <n v="6"/>
    <s v="Y"/>
    <x v="1"/>
    <n v="20"/>
    <n v="4"/>
    <n v="2"/>
    <n v="80"/>
    <n v="1"/>
    <n v="17"/>
    <n v="3"/>
    <x v="1"/>
    <n v="5"/>
    <n v="4"/>
    <n v="0"/>
    <n v="3"/>
    <x v="1"/>
    <x v="1"/>
  </r>
  <r>
    <n v="46"/>
    <x v="1"/>
    <s v="Non-Travel"/>
    <n v="1144"/>
    <x v="1"/>
    <n v="7"/>
    <n v="4"/>
    <s v="Medical"/>
    <n v="1"/>
    <x v="365"/>
    <n v="3"/>
    <s v="Female"/>
    <n v="30"/>
    <n v="3"/>
    <n v="2"/>
    <x v="3"/>
    <x v="2"/>
    <s v="Married"/>
    <n v="5258"/>
    <n v="16044"/>
    <n v="2"/>
    <s v="Y"/>
    <x v="1"/>
    <n v="14"/>
    <n v="3"/>
    <n v="3"/>
    <n v="80"/>
    <n v="0"/>
    <n v="7"/>
    <n v="2"/>
    <x v="3"/>
    <n v="1"/>
    <n v="0"/>
    <n v="0"/>
    <n v="0"/>
    <x v="0"/>
    <x v="0"/>
  </r>
  <r>
    <n v="41"/>
    <x v="0"/>
    <s v="Travel_Frequently"/>
    <n v="143"/>
    <x v="0"/>
    <n v="4"/>
    <n v="3"/>
    <s v="Marketing"/>
    <n v="1"/>
    <x v="366"/>
    <n v="1"/>
    <s v="Male"/>
    <n v="56"/>
    <n v="3"/>
    <n v="2"/>
    <x v="0"/>
    <x v="1"/>
    <s v="Single"/>
    <n v="9355"/>
    <n v="9558"/>
    <n v="1"/>
    <s v="Y"/>
    <x v="1"/>
    <n v="18"/>
    <n v="3"/>
    <n v="3"/>
    <n v="80"/>
    <n v="0"/>
    <n v="8"/>
    <n v="5"/>
    <x v="1"/>
    <n v="8"/>
    <n v="7"/>
    <n v="7"/>
    <n v="7"/>
    <x v="0"/>
    <x v="2"/>
  </r>
  <r>
    <n v="50"/>
    <x v="1"/>
    <s v="Travel_Rarely"/>
    <n v="1046"/>
    <x v="1"/>
    <n v="10"/>
    <n v="3"/>
    <s v="Technical Degree"/>
    <n v="1"/>
    <x v="367"/>
    <n v="4"/>
    <s v="Male"/>
    <n v="100"/>
    <n v="2"/>
    <n v="3"/>
    <x v="4"/>
    <x v="0"/>
    <s v="Single"/>
    <n v="10496"/>
    <n v="2755"/>
    <n v="6"/>
    <s v="Y"/>
    <x v="1"/>
    <n v="15"/>
    <n v="3"/>
    <n v="4"/>
    <n v="80"/>
    <n v="0"/>
    <n v="20"/>
    <n v="2"/>
    <x v="1"/>
    <n v="4"/>
    <n v="3"/>
    <n v="1"/>
    <n v="3"/>
    <x v="0"/>
    <x v="2"/>
  </r>
  <r>
    <n v="40"/>
    <x v="0"/>
    <s v="Travel_Rarely"/>
    <n v="575"/>
    <x v="0"/>
    <n v="22"/>
    <n v="2"/>
    <s v="Marketing"/>
    <n v="1"/>
    <x v="368"/>
    <n v="3"/>
    <s v="Male"/>
    <n v="68"/>
    <n v="2"/>
    <n v="2"/>
    <x v="0"/>
    <x v="2"/>
    <s v="Married"/>
    <n v="6380"/>
    <n v="6110"/>
    <n v="2"/>
    <s v="Y"/>
    <x v="0"/>
    <n v="12"/>
    <n v="3"/>
    <n v="1"/>
    <n v="80"/>
    <n v="2"/>
    <n v="8"/>
    <n v="6"/>
    <x v="1"/>
    <n v="6"/>
    <n v="4"/>
    <n v="1"/>
    <n v="0"/>
    <x v="1"/>
    <x v="0"/>
  </r>
  <r>
    <n v="31"/>
    <x v="1"/>
    <s v="Travel_Rarely"/>
    <n v="408"/>
    <x v="1"/>
    <n v="9"/>
    <n v="4"/>
    <s v="Life Sciences"/>
    <n v="1"/>
    <x v="369"/>
    <n v="3"/>
    <s v="Male"/>
    <n v="42"/>
    <n v="2"/>
    <n v="1"/>
    <x v="1"/>
    <x v="1"/>
    <s v="Single"/>
    <n v="2657"/>
    <n v="7551"/>
    <n v="0"/>
    <s v="Y"/>
    <x v="0"/>
    <n v="16"/>
    <n v="3"/>
    <n v="4"/>
    <n v="80"/>
    <n v="0"/>
    <n v="3"/>
    <n v="5"/>
    <x v="1"/>
    <n v="2"/>
    <n v="2"/>
    <n v="2"/>
    <n v="2"/>
    <x v="1"/>
    <x v="1"/>
  </r>
  <r>
    <n v="21"/>
    <x v="0"/>
    <s v="Travel_Rarely"/>
    <n v="156"/>
    <x v="0"/>
    <n v="12"/>
    <n v="3"/>
    <s v="Life Sciences"/>
    <n v="1"/>
    <x v="370"/>
    <n v="3"/>
    <s v="Female"/>
    <n v="90"/>
    <n v="4"/>
    <n v="1"/>
    <x v="6"/>
    <x v="1"/>
    <s v="Single"/>
    <n v="2716"/>
    <n v="25422"/>
    <n v="1"/>
    <s v="Y"/>
    <x v="1"/>
    <n v="15"/>
    <n v="3"/>
    <n v="4"/>
    <n v="80"/>
    <n v="0"/>
    <n v="1"/>
    <n v="0"/>
    <x v="1"/>
    <n v="1"/>
    <n v="0"/>
    <n v="0"/>
    <n v="0"/>
    <x v="2"/>
    <x v="1"/>
  </r>
  <r>
    <n v="29"/>
    <x v="1"/>
    <s v="Travel_Rarely"/>
    <n v="1283"/>
    <x v="1"/>
    <n v="23"/>
    <n v="3"/>
    <s v="Life Sciences"/>
    <n v="1"/>
    <x v="371"/>
    <n v="4"/>
    <s v="Male"/>
    <n v="54"/>
    <n v="3"/>
    <n v="1"/>
    <x v="1"/>
    <x v="0"/>
    <s v="Single"/>
    <n v="2201"/>
    <n v="18168"/>
    <n v="9"/>
    <s v="Y"/>
    <x v="1"/>
    <n v="16"/>
    <n v="3"/>
    <n v="4"/>
    <n v="80"/>
    <n v="0"/>
    <n v="6"/>
    <n v="4"/>
    <x v="1"/>
    <n v="3"/>
    <n v="2"/>
    <n v="1"/>
    <n v="2"/>
    <x v="2"/>
    <x v="1"/>
  </r>
  <r>
    <n v="35"/>
    <x v="1"/>
    <s v="Travel_Rarely"/>
    <n v="755"/>
    <x v="1"/>
    <n v="9"/>
    <n v="4"/>
    <s v="Life Sciences"/>
    <n v="1"/>
    <x v="372"/>
    <n v="3"/>
    <s v="Male"/>
    <n v="97"/>
    <n v="2"/>
    <n v="2"/>
    <x v="4"/>
    <x v="1"/>
    <s v="Single"/>
    <n v="6540"/>
    <n v="19394"/>
    <n v="9"/>
    <s v="Y"/>
    <x v="1"/>
    <n v="19"/>
    <n v="3"/>
    <n v="3"/>
    <n v="80"/>
    <n v="0"/>
    <n v="10"/>
    <n v="5"/>
    <x v="1"/>
    <n v="1"/>
    <n v="1"/>
    <n v="0"/>
    <n v="0"/>
    <x v="1"/>
    <x v="0"/>
  </r>
  <r>
    <n v="27"/>
    <x v="1"/>
    <s v="Travel_Rarely"/>
    <n v="1469"/>
    <x v="1"/>
    <n v="1"/>
    <n v="2"/>
    <s v="Medical"/>
    <n v="1"/>
    <x v="373"/>
    <n v="4"/>
    <s v="Male"/>
    <n v="82"/>
    <n v="3"/>
    <n v="1"/>
    <x v="2"/>
    <x v="1"/>
    <s v="Divorced"/>
    <n v="3816"/>
    <n v="17881"/>
    <n v="1"/>
    <s v="Y"/>
    <x v="1"/>
    <n v="11"/>
    <n v="3"/>
    <n v="2"/>
    <n v="80"/>
    <n v="1"/>
    <n v="5"/>
    <n v="2"/>
    <x v="1"/>
    <n v="5"/>
    <n v="2"/>
    <n v="0"/>
    <n v="4"/>
    <x v="2"/>
    <x v="1"/>
  </r>
  <r>
    <n v="28"/>
    <x v="1"/>
    <s v="Travel_Rarely"/>
    <n v="304"/>
    <x v="0"/>
    <n v="9"/>
    <n v="4"/>
    <s v="Life Sciences"/>
    <n v="1"/>
    <x v="374"/>
    <n v="2"/>
    <s v="Male"/>
    <n v="92"/>
    <n v="3"/>
    <n v="2"/>
    <x v="0"/>
    <x v="0"/>
    <s v="Single"/>
    <n v="5253"/>
    <n v="20750"/>
    <n v="1"/>
    <s v="Y"/>
    <x v="1"/>
    <n v="16"/>
    <n v="3"/>
    <n v="4"/>
    <n v="80"/>
    <n v="0"/>
    <n v="7"/>
    <n v="1"/>
    <x v="1"/>
    <n v="7"/>
    <n v="5"/>
    <n v="0"/>
    <n v="7"/>
    <x v="2"/>
    <x v="0"/>
  </r>
  <r>
    <n v="49"/>
    <x v="1"/>
    <s v="Travel_Rarely"/>
    <n v="1261"/>
    <x v="1"/>
    <n v="7"/>
    <n v="3"/>
    <s v="Other"/>
    <n v="1"/>
    <x v="375"/>
    <n v="2"/>
    <s v="Male"/>
    <n v="31"/>
    <n v="2"/>
    <n v="3"/>
    <x v="4"/>
    <x v="2"/>
    <s v="Single"/>
    <n v="10965"/>
    <n v="12066"/>
    <n v="8"/>
    <s v="Y"/>
    <x v="1"/>
    <n v="24"/>
    <n v="4"/>
    <n v="3"/>
    <n v="80"/>
    <n v="0"/>
    <n v="26"/>
    <n v="2"/>
    <x v="1"/>
    <n v="5"/>
    <n v="2"/>
    <n v="0"/>
    <n v="0"/>
    <x v="0"/>
    <x v="2"/>
  </r>
  <r>
    <n v="51"/>
    <x v="1"/>
    <s v="Travel_Rarely"/>
    <n v="1178"/>
    <x v="0"/>
    <n v="14"/>
    <n v="2"/>
    <s v="Life Sciences"/>
    <n v="1"/>
    <x v="376"/>
    <n v="3"/>
    <s v="Female"/>
    <n v="87"/>
    <n v="3"/>
    <n v="2"/>
    <x v="0"/>
    <x v="0"/>
    <s v="Married"/>
    <n v="4936"/>
    <n v="14862"/>
    <n v="4"/>
    <s v="Y"/>
    <x v="1"/>
    <n v="11"/>
    <n v="3"/>
    <n v="3"/>
    <n v="80"/>
    <n v="1"/>
    <n v="18"/>
    <n v="2"/>
    <x v="2"/>
    <n v="7"/>
    <n v="7"/>
    <n v="0"/>
    <n v="7"/>
    <x v="3"/>
    <x v="0"/>
  </r>
  <r>
    <n v="36"/>
    <x v="1"/>
    <s v="Travel_Rarely"/>
    <n v="329"/>
    <x v="1"/>
    <n v="2"/>
    <n v="3"/>
    <s v="Life Sciences"/>
    <n v="1"/>
    <x v="377"/>
    <n v="4"/>
    <s v="Female"/>
    <n v="96"/>
    <n v="3"/>
    <n v="1"/>
    <x v="1"/>
    <x v="2"/>
    <s v="Married"/>
    <n v="2543"/>
    <n v="11868"/>
    <n v="4"/>
    <s v="Y"/>
    <x v="1"/>
    <n v="13"/>
    <n v="3"/>
    <n v="2"/>
    <n v="80"/>
    <n v="1"/>
    <n v="6"/>
    <n v="3"/>
    <x v="1"/>
    <n v="2"/>
    <n v="2"/>
    <n v="2"/>
    <n v="2"/>
    <x v="1"/>
    <x v="1"/>
  </r>
  <r>
    <n v="34"/>
    <x v="0"/>
    <s v="Non-Travel"/>
    <n v="1362"/>
    <x v="0"/>
    <n v="19"/>
    <n v="3"/>
    <s v="Marketing"/>
    <n v="1"/>
    <x v="378"/>
    <n v="1"/>
    <s v="Male"/>
    <n v="67"/>
    <n v="4"/>
    <n v="2"/>
    <x v="0"/>
    <x v="0"/>
    <s v="Single"/>
    <n v="5304"/>
    <n v="4652"/>
    <n v="8"/>
    <s v="Y"/>
    <x v="0"/>
    <n v="13"/>
    <n v="3"/>
    <n v="2"/>
    <n v="80"/>
    <n v="0"/>
    <n v="9"/>
    <n v="3"/>
    <x v="2"/>
    <n v="5"/>
    <n v="2"/>
    <n v="0"/>
    <n v="4"/>
    <x v="1"/>
    <x v="0"/>
  </r>
  <r>
    <n v="55"/>
    <x v="1"/>
    <s v="Travel_Rarely"/>
    <n v="1311"/>
    <x v="1"/>
    <n v="2"/>
    <n v="3"/>
    <s v="Life Sciences"/>
    <n v="1"/>
    <x v="379"/>
    <n v="3"/>
    <s v="Female"/>
    <n v="97"/>
    <n v="3"/>
    <n v="4"/>
    <x v="5"/>
    <x v="0"/>
    <s v="Single"/>
    <n v="16659"/>
    <n v="23258"/>
    <n v="2"/>
    <s v="Y"/>
    <x v="0"/>
    <n v="13"/>
    <n v="3"/>
    <n v="3"/>
    <n v="80"/>
    <n v="0"/>
    <n v="30"/>
    <n v="2"/>
    <x v="1"/>
    <n v="5"/>
    <n v="4"/>
    <n v="1"/>
    <n v="2"/>
    <x v="3"/>
    <x v="2"/>
  </r>
  <r>
    <n v="24"/>
    <x v="1"/>
    <s v="Travel_Rarely"/>
    <n v="1371"/>
    <x v="0"/>
    <n v="10"/>
    <n v="4"/>
    <s v="Marketing"/>
    <n v="1"/>
    <x v="380"/>
    <n v="4"/>
    <s v="Female"/>
    <n v="77"/>
    <n v="3"/>
    <n v="2"/>
    <x v="0"/>
    <x v="2"/>
    <s v="Divorced"/>
    <n v="4260"/>
    <n v="5915"/>
    <n v="1"/>
    <s v="Y"/>
    <x v="0"/>
    <n v="12"/>
    <n v="3"/>
    <n v="4"/>
    <n v="80"/>
    <n v="1"/>
    <n v="5"/>
    <n v="2"/>
    <x v="3"/>
    <n v="5"/>
    <n v="2"/>
    <n v="0"/>
    <n v="3"/>
    <x v="2"/>
    <x v="0"/>
  </r>
  <r>
    <n v="30"/>
    <x v="1"/>
    <s v="Travel_Rarely"/>
    <n v="202"/>
    <x v="0"/>
    <n v="2"/>
    <n v="1"/>
    <s v="Technical Degree"/>
    <n v="1"/>
    <x v="381"/>
    <n v="3"/>
    <s v="Male"/>
    <n v="72"/>
    <n v="3"/>
    <n v="1"/>
    <x v="6"/>
    <x v="1"/>
    <s v="Married"/>
    <n v="2476"/>
    <n v="17434"/>
    <n v="1"/>
    <s v="Y"/>
    <x v="1"/>
    <n v="18"/>
    <n v="3"/>
    <n v="1"/>
    <n v="80"/>
    <n v="1"/>
    <n v="1"/>
    <n v="3"/>
    <x v="1"/>
    <n v="1"/>
    <n v="0"/>
    <n v="0"/>
    <n v="0"/>
    <x v="1"/>
    <x v="1"/>
  </r>
  <r>
    <n v="26"/>
    <x v="0"/>
    <s v="Travel_Frequently"/>
    <n v="575"/>
    <x v="1"/>
    <n v="3"/>
    <n v="1"/>
    <s v="Technical Degree"/>
    <n v="1"/>
    <x v="382"/>
    <n v="3"/>
    <s v="Male"/>
    <n v="73"/>
    <n v="3"/>
    <n v="1"/>
    <x v="1"/>
    <x v="3"/>
    <s v="Single"/>
    <n v="3102"/>
    <n v="6582"/>
    <n v="0"/>
    <s v="Y"/>
    <x v="1"/>
    <n v="22"/>
    <n v="4"/>
    <n v="3"/>
    <n v="80"/>
    <n v="0"/>
    <n v="7"/>
    <n v="2"/>
    <x v="1"/>
    <n v="6"/>
    <n v="4"/>
    <n v="0"/>
    <n v="4"/>
    <x v="2"/>
    <x v="1"/>
  </r>
  <r>
    <n v="22"/>
    <x v="1"/>
    <s v="Travel_Rarely"/>
    <n v="253"/>
    <x v="1"/>
    <n v="11"/>
    <n v="3"/>
    <s v="Medical"/>
    <n v="1"/>
    <x v="383"/>
    <n v="1"/>
    <s v="Female"/>
    <n v="43"/>
    <n v="3"/>
    <n v="1"/>
    <x v="1"/>
    <x v="1"/>
    <s v="Married"/>
    <n v="2244"/>
    <n v="24440"/>
    <n v="1"/>
    <s v="Y"/>
    <x v="1"/>
    <n v="13"/>
    <n v="3"/>
    <n v="4"/>
    <n v="80"/>
    <n v="1"/>
    <n v="2"/>
    <n v="1"/>
    <x v="1"/>
    <n v="2"/>
    <n v="1"/>
    <n v="1"/>
    <n v="2"/>
    <x v="2"/>
    <x v="1"/>
  </r>
  <r>
    <n v="36"/>
    <x v="1"/>
    <s v="Travel_Rarely"/>
    <n v="164"/>
    <x v="0"/>
    <n v="2"/>
    <n v="2"/>
    <s v="Medical"/>
    <n v="1"/>
    <x v="384"/>
    <n v="2"/>
    <s v="Male"/>
    <n v="61"/>
    <n v="2"/>
    <n v="3"/>
    <x v="0"/>
    <x v="2"/>
    <s v="Married"/>
    <n v="7596"/>
    <n v="3809"/>
    <n v="1"/>
    <s v="Y"/>
    <x v="1"/>
    <n v="13"/>
    <n v="3"/>
    <n v="2"/>
    <n v="80"/>
    <n v="2"/>
    <n v="10"/>
    <n v="2"/>
    <x v="1"/>
    <n v="10"/>
    <n v="9"/>
    <n v="9"/>
    <n v="0"/>
    <x v="1"/>
    <x v="2"/>
  </r>
  <r>
    <n v="30"/>
    <x v="0"/>
    <s v="Travel_Frequently"/>
    <n v="464"/>
    <x v="1"/>
    <n v="4"/>
    <n v="3"/>
    <s v="Technical Degree"/>
    <n v="1"/>
    <x v="385"/>
    <n v="3"/>
    <s v="Male"/>
    <n v="40"/>
    <n v="3"/>
    <n v="1"/>
    <x v="1"/>
    <x v="0"/>
    <s v="Single"/>
    <n v="2285"/>
    <n v="3427"/>
    <n v="9"/>
    <s v="Y"/>
    <x v="0"/>
    <n v="23"/>
    <n v="4"/>
    <n v="3"/>
    <n v="80"/>
    <n v="0"/>
    <n v="3"/>
    <n v="4"/>
    <x v="1"/>
    <n v="1"/>
    <n v="0"/>
    <n v="0"/>
    <n v="0"/>
    <x v="1"/>
    <x v="1"/>
  </r>
  <r>
    <n v="37"/>
    <x v="1"/>
    <s v="Travel_Rarely"/>
    <n v="1107"/>
    <x v="1"/>
    <n v="14"/>
    <n v="3"/>
    <s v="Life Sciences"/>
    <n v="1"/>
    <x v="386"/>
    <n v="4"/>
    <s v="Female"/>
    <n v="95"/>
    <n v="3"/>
    <n v="1"/>
    <x v="2"/>
    <x v="3"/>
    <s v="Divorced"/>
    <n v="3034"/>
    <n v="26914"/>
    <n v="1"/>
    <s v="Y"/>
    <x v="1"/>
    <n v="12"/>
    <n v="3"/>
    <n v="3"/>
    <n v="80"/>
    <n v="1"/>
    <n v="18"/>
    <n v="2"/>
    <x v="2"/>
    <n v="18"/>
    <n v="7"/>
    <n v="12"/>
    <n v="17"/>
    <x v="1"/>
    <x v="1"/>
  </r>
  <r>
    <n v="40"/>
    <x v="1"/>
    <s v="Travel_Rarely"/>
    <n v="759"/>
    <x v="0"/>
    <n v="2"/>
    <n v="2"/>
    <s v="Marketing"/>
    <n v="1"/>
    <x v="387"/>
    <n v="4"/>
    <s v="Female"/>
    <n v="46"/>
    <n v="3"/>
    <n v="2"/>
    <x v="0"/>
    <x v="1"/>
    <s v="Divorced"/>
    <n v="5715"/>
    <n v="22553"/>
    <n v="7"/>
    <s v="Y"/>
    <x v="1"/>
    <n v="12"/>
    <n v="3"/>
    <n v="3"/>
    <n v="80"/>
    <n v="2"/>
    <n v="8"/>
    <n v="5"/>
    <x v="1"/>
    <n v="5"/>
    <n v="4"/>
    <n v="1"/>
    <n v="3"/>
    <x v="1"/>
    <x v="0"/>
  </r>
  <r>
    <n v="42"/>
    <x v="1"/>
    <s v="Travel_Rarely"/>
    <n v="201"/>
    <x v="1"/>
    <n v="1"/>
    <n v="4"/>
    <s v="Life Sciences"/>
    <n v="1"/>
    <x v="388"/>
    <n v="2"/>
    <s v="Female"/>
    <n v="95"/>
    <n v="3"/>
    <n v="1"/>
    <x v="2"/>
    <x v="3"/>
    <s v="Divorced"/>
    <n v="2576"/>
    <n v="20490"/>
    <n v="3"/>
    <s v="Y"/>
    <x v="1"/>
    <n v="16"/>
    <n v="3"/>
    <n v="2"/>
    <n v="80"/>
    <n v="1"/>
    <n v="8"/>
    <n v="5"/>
    <x v="1"/>
    <n v="5"/>
    <n v="2"/>
    <n v="1"/>
    <n v="2"/>
    <x v="0"/>
    <x v="1"/>
  </r>
  <r>
    <n v="37"/>
    <x v="1"/>
    <s v="Travel_Rarely"/>
    <n v="1305"/>
    <x v="1"/>
    <n v="10"/>
    <n v="4"/>
    <s v="Life Sciences"/>
    <n v="1"/>
    <x v="389"/>
    <n v="3"/>
    <s v="Male"/>
    <n v="49"/>
    <n v="3"/>
    <n v="2"/>
    <x v="3"/>
    <x v="1"/>
    <s v="Single"/>
    <n v="4197"/>
    <n v="21123"/>
    <n v="2"/>
    <s v="Y"/>
    <x v="0"/>
    <n v="12"/>
    <n v="3"/>
    <n v="4"/>
    <n v="80"/>
    <n v="0"/>
    <n v="18"/>
    <n v="2"/>
    <x v="2"/>
    <n v="1"/>
    <n v="0"/>
    <n v="0"/>
    <n v="1"/>
    <x v="1"/>
    <x v="0"/>
  </r>
  <r>
    <n v="43"/>
    <x v="1"/>
    <s v="Travel_Rarely"/>
    <n v="982"/>
    <x v="1"/>
    <n v="12"/>
    <n v="3"/>
    <s v="Life Sciences"/>
    <n v="1"/>
    <x v="390"/>
    <n v="1"/>
    <s v="Male"/>
    <n v="59"/>
    <n v="2"/>
    <n v="4"/>
    <x v="7"/>
    <x v="1"/>
    <s v="Divorced"/>
    <n v="14336"/>
    <n v="4345"/>
    <n v="1"/>
    <s v="Y"/>
    <x v="1"/>
    <n v="11"/>
    <n v="3"/>
    <n v="3"/>
    <n v="80"/>
    <n v="1"/>
    <n v="25"/>
    <n v="3"/>
    <x v="1"/>
    <n v="25"/>
    <n v="10"/>
    <n v="3"/>
    <n v="9"/>
    <x v="0"/>
    <x v="2"/>
  </r>
  <r>
    <n v="40"/>
    <x v="1"/>
    <s v="Travel_Rarely"/>
    <n v="555"/>
    <x v="1"/>
    <n v="2"/>
    <n v="3"/>
    <s v="Medical"/>
    <n v="1"/>
    <x v="391"/>
    <n v="2"/>
    <s v="Female"/>
    <n v="78"/>
    <n v="2"/>
    <n v="2"/>
    <x v="2"/>
    <x v="2"/>
    <s v="Married"/>
    <n v="3448"/>
    <n v="13436"/>
    <n v="6"/>
    <s v="Y"/>
    <x v="1"/>
    <n v="22"/>
    <n v="4"/>
    <n v="2"/>
    <n v="80"/>
    <n v="1"/>
    <n v="20"/>
    <n v="3"/>
    <x v="1"/>
    <n v="1"/>
    <n v="0"/>
    <n v="0"/>
    <n v="0"/>
    <x v="1"/>
    <x v="1"/>
  </r>
  <r>
    <n v="54"/>
    <x v="1"/>
    <s v="Travel_Rarely"/>
    <n v="821"/>
    <x v="1"/>
    <n v="5"/>
    <n v="2"/>
    <s v="Medical"/>
    <n v="1"/>
    <x v="392"/>
    <n v="1"/>
    <s v="Male"/>
    <n v="86"/>
    <n v="3"/>
    <n v="5"/>
    <x v="7"/>
    <x v="3"/>
    <s v="Married"/>
    <n v="19406"/>
    <n v="8509"/>
    <n v="4"/>
    <s v="Y"/>
    <x v="1"/>
    <n v="11"/>
    <n v="3"/>
    <n v="3"/>
    <n v="80"/>
    <n v="1"/>
    <n v="24"/>
    <n v="4"/>
    <x v="2"/>
    <n v="4"/>
    <n v="2"/>
    <n v="1"/>
    <n v="2"/>
    <x v="3"/>
    <x v="2"/>
  </r>
  <r>
    <n v="34"/>
    <x v="1"/>
    <s v="Non-Travel"/>
    <n v="1381"/>
    <x v="0"/>
    <n v="4"/>
    <n v="4"/>
    <s v="Marketing"/>
    <n v="1"/>
    <x v="393"/>
    <n v="3"/>
    <s v="Female"/>
    <n v="72"/>
    <n v="3"/>
    <n v="2"/>
    <x v="0"/>
    <x v="2"/>
    <s v="Married"/>
    <n v="6538"/>
    <n v="12740"/>
    <n v="9"/>
    <s v="Y"/>
    <x v="1"/>
    <n v="15"/>
    <n v="3"/>
    <n v="1"/>
    <n v="80"/>
    <n v="1"/>
    <n v="6"/>
    <n v="3"/>
    <x v="1"/>
    <n v="3"/>
    <n v="2"/>
    <n v="1"/>
    <n v="2"/>
    <x v="1"/>
    <x v="0"/>
  </r>
  <r>
    <n v="31"/>
    <x v="1"/>
    <s v="Travel_Rarely"/>
    <n v="480"/>
    <x v="1"/>
    <n v="7"/>
    <n v="2"/>
    <s v="Medical"/>
    <n v="1"/>
    <x v="394"/>
    <n v="2"/>
    <s v="Female"/>
    <n v="31"/>
    <n v="3"/>
    <n v="2"/>
    <x v="3"/>
    <x v="3"/>
    <s v="Married"/>
    <n v="4306"/>
    <n v="4156"/>
    <n v="1"/>
    <s v="Y"/>
    <x v="1"/>
    <n v="12"/>
    <n v="3"/>
    <n v="2"/>
    <n v="80"/>
    <n v="1"/>
    <n v="13"/>
    <n v="5"/>
    <x v="0"/>
    <n v="13"/>
    <n v="10"/>
    <n v="3"/>
    <n v="12"/>
    <x v="1"/>
    <x v="0"/>
  </r>
  <r>
    <n v="43"/>
    <x v="1"/>
    <s v="Travel_Frequently"/>
    <n v="313"/>
    <x v="1"/>
    <n v="21"/>
    <n v="3"/>
    <s v="Medical"/>
    <n v="1"/>
    <x v="395"/>
    <n v="4"/>
    <s v="Male"/>
    <n v="61"/>
    <n v="3"/>
    <n v="1"/>
    <x v="2"/>
    <x v="0"/>
    <s v="Married"/>
    <n v="2258"/>
    <n v="15238"/>
    <n v="7"/>
    <s v="Y"/>
    <x v="1"/>
    <n v="20"/>
    <n v="4"/>
    <n v="1"/>
    <n v="80"/>
    <n v="1"/>
    <n v="8"/>
    <n v="1"/>
    <x v="1"/>
    <n v="3"/>
    <n v="2"/>
    <n v="1"/>
    <n v="2"/>
    <x v="0"/>
    <x v="1"/>
  </r>
  <r>
    <n v="43"/>
    <x v="1"/>
    <s v="Travel_Rarely"/>
    <n v="1473"/>
    <x v="1"/>
    <n v="8"/>
    <n v="4"/>
    <s v="Other"/>
    <n v="1"/>
    <x v="396"/>
    <n v="3"/>
    <s v="Female"/>
    <n v="74"/>
    <n v="3"/>
    <n v="2"/>
    <x v="4"/>
    <x v="2"/>
    <s v="Divorced"/>
    <n v="4522"/>
    <n v="2227"/>
    <n v="4"/>
    <s v="Y"/>
    <x v="0"/>
    <n v="14"/>
    <n v="3"/>
    <n v="4"/>
    <n v="80"/>
    <n v="0"/>
    <n v="8"/>
    <n v="3"/>
    <x v="1"/>
    <n v="5"/>
    <n v="2"/>
    <n v="0"/>
    <n v="2"/>
    <x v="0"/>
    <x v="0"/>
  </r>
  <r>
    <n v="25"/>
    <x v="1"/>
    <s v="Travel_Rarely"/>
    <n v="891"/>
    <x v="0"/>
    <n v="4"/>
    <n v="2"/>
    <s v="Life Sciences"/>
    <n v="1"/>
    <x v="397"/>
    <n v="2"/>
    <s v="Female"/>
    <n v="99"/>
    <n v="2"/>
    <n v="2"/>
    <x v="0"/>
    <x v="0"/>
    <s v="Single"/>
    <n v="4487"/>
    <n v="12090"/>
    <n v="1"/>
    <s v="Y"/>
    <x v="0"/>
    <n v="11"/>
    <n v="3"/>
    <n v="2"/>
    <n v="80"/>
    <n v="0"/>
    <n v="5"/>
    <n v="3"/>
    <x v="1"/>
    <n v="5"/>
    <n v="4"/>
    <n v="1"/>
    <n v="3"/>
    <x v="2"/>
    <x v="0"/>
  </r>
  <r>
    <n v="37"/>
    <x v="1"/>
    <s v="Non-Travel"/>
    <n v="1063"/>
    <x v="1"/>
    <n v="25"/>
    <n v="5"/>
    <s v="Medical"/>
    <n v="1"/>
    <x v="398"/>
    <n v="2"/>
    <s v="Female"/>
    <n v="72"/>
    <n v="3"/>
    <n v="2"/>
    <x v="1"/>
    <x v="2"/>
    <s v="Married"/>
    <n v="4449"/>
    <n v="23866"/>
    <n v="3"/>
    <s v="Y"/>
    <x v="0"/>
    <n v="15"/>
    <n v="3"/>
    <n v="1"/>
    <n v="80"/>
    <n v="2"/>
    <n v="15"/>
    <n v="2"/>
    <x v="1"/>
    <n v="13"/>
    <n v="11"/>
    <n v="10"/>
    <n v="7"/>
    <x v="1"/>
    <x v="0"/>
  </r>
  <r>
    <n v="31"/>
    <x v="1"/>
    <s v="Travel_Rarely"/>
    <n v="329"/>
    <x v="1"/>
    <n v="1"/>
    <n v="2"/>
    <s v="Life Sciences"/>
    <n v="1"/>
    <x v="399"/>
    <n v="4"/>
    <s v="Male"/>
    <n v="98"/>
    <n v="2"/>
    <n v="1"/>
    <x v="2"/>
    <x v="3"/>
    <s v="Married"/>
    <n v="2218"/>
    <n v="16193"/>
    <n v="1"/>
    <s v="Y"/>
    <x v="1"/>
    <n v="12"/>
    <n v="3"/>
    <n v="3"/>
    <n v="80"/>
    <n v="1"/>
    <n v="4"/>
    <n v="3"/>
    <x v="1"/>
    <n v="4"/>
    <n v="2"/>
    <n v="3"/>
    <n v="2"/>
    <x v="1"/>
    <x v="1"/>
  </r>
  <r>
    <n v="39"/>
    <x v="1"/>
    <s v="Travel_Frequently"/>
    <n v="1218"/>
    <x v="1"/>
    <n v="1"/>
    <n v="1"/>
    <s v="Life Sciences"/>
    <n v="1"/>
    <x v="400"/>
    <n v="2"/>
    <s v="Male"/>
    <n v="52"/>
    <n v="3"/>
    <n v="5"/>
    <x v="5"/>
    <x v="2"/>
    <s v="Divorced"/>
    <n v="19197"/>
    <n v="8213"/>
    <n v="1"/>
    <s v="Y"/>
    <x v="0"/>
    <n v="14"/>
    <n v="3"/>
    <n v="3"/>
    <n v="80"/>
    <n v="1"/>
    <n v="21"/>
    <n v="3"/>
    <x v="1"/>
    <n v="21"/>
    <n v="8"/>
    <n v="1"/>
    <n v="6"/>
    <x v="1"/>
    <x v="2"/>
  </r>
  <r>
    <n v="56"/>
    <x v="1"/>
    <s v="Travel_Frequently"/>
    <n v="906"/>
    <x v="0"/>
    <n v="6"/>
    <n v="3"/>
    <s v="Life Sciences"/>
    <n v="1"/>
    <x v="401"/>
    <n v="3"/>
    <s v="Female"/>
    <n v="86"/>
    <n v="4"/>
    <n v="4"/>
    <x v="0"/>
    <x v="3"/>
    <s v="Married"/>
    <n v="13212"/>
    <n v="18256"/>
    <n v="9"/>
    <s v="Y"/>
    <x v="1"/>
    <n v="11"/>
    <n v="3"/>
    <n v="4"/>
    <n v="80"/>
    <n v="3"/>
    <n v="36"/>
    <n v="0"/>
    <x v="2"/>
    <n v="7"/>
    <n v="7"/>
    <n v="7"/>
    <n v="7"/>
    <x v="3"/>
    <x v="2"/>
  </r>
  <r>
    <n v="30"/>
    <x v="1"/>
    <s v="Travel_Rarely"/>
    <n v="1082"/>
    <x v="0"/>
    <n v="12"/>
    <n v="3"/>
    <s v="Technical Degree"/>
    <n v="1"/>
    <x v="402"/>
    <n v="2"/>
    <s v="Female"/>
    <n v="83"/>
    <n v="3"/>
    <n v="2"/>
    <x v="0"/>
    <x v="2"/>
    <s v="Single"/>
    <n v="6577"/>
    <n v="19558"/>
    <n v="0"/>
    <s v="Y"/>
    <x v="1"/>
    <n v="11"/>
    <n v="3"/>
    <n v="2"/>
    <n v="80"/>
    <n v="0"/>
    <n v="6"/>
    <n v="6"/>
    <x v="1"/>
    <n v="5"/>
    <n v="4"/>
    <n v="4"/>
    <n v="4"/>
    <x v="1"/>
    <x v="0"/>
  </r>
  <r>
    <n v="41"/>
    <x v="1"/>
    <s v="Travel_Rarely"/>
    <n v="645"/>
    <x v="0"/>
    <n v="1"/>
    <n v="3"/>
    <s v="Marketing"/>
    <n v="1"/>
    <x v="403"/>
    <n v="2"/>
    <s v="Male"/>
    <n v="49"/>
    <n v="4"/>
    <n v="3"/>
    <x v="0"/>
    <x v="3"/>
    <s v="Married"/>
    <n v="8392"/>
    <n v="19566"/>
    <n v="1"/>
    <s v="Y"/>
    <x v="1"/>
    <n v="16"/>
    <n v="3"/>
    <n v="3"/>
    <n v="80"/>
    <n v="1"/>
    <n v="10"/>
    <n v="2"/>
    <x v="1"/>
    <n v="10"/>
    <n v="7"/>
    <n v="0"/>
    <n v="7"/>
    <x v="0"/>
    <x v="2"/>
  </r>
  <r>
    <n v="28"/>
    <x v="1"/>
    <s v="Travel_Rarely"/>
    <n v="1300"/>
    <x v="1"/>
    <n v="17"/>
    <n v="2"/>
    <s v="Medical"/>
    <n v="1"/>
    <x v="404"/>
    <n v="3"/>
    <s v="Male"/>
    <n v="79"/>
    <n v="3"/>
    <n v="2"/>
    <x v="2"/>
    <x v="3"/>
    <s v="Divorced"/>
    <n v="4558"/>
    <n v="13535"/>
    <n v="1"/>
    <s v="Y"/>
    <x v="1"/>
    <n v="12"/>
    <n v="3"/>
    <n v="4"/>
    <n v="80"/>
    <n v="1"/>
    <n v="10"/>
    <n v="2"/>
    <x v="1"/>
    <n v="10"/>
    <n v="0"/>
    <n v="1"/>
    <n v="8"/>
    <x v="2"/>
    <x v="0"/>
  </r>
  <r>
    <n v="25"/>
    <x v="0"/>
    <s v="Travel_Rarely"/>
    <n v="688"/>
    <x v="1"/>
    <n v="3"/>
    <n v="3"/>
    <s v="Medical"/>
    <n v="1"/>
    <x v="405"/>
    <n v="1"/>
    <s v="Male"/>
    <n v="91"/>
    <n v="3"/>
    <n v="1"/>
    <x v="2"/>
    <x v="3"/>
    <s v="Married"/>
    <n v="4031"/>
    <n v="9396"/>
    <n v="5"/>
    <s v="Y"/>
    <x v="1"/>
    <n v="13"/>
    <n v="3"/>
    <n v="3"/>
    <n v="80"/>
    <n v="1"/>
    <n v="6"/>
    <n v="5"/>
    <x v="1"/>
    <n v="2"/>
    <n v="2"/>
    <n v="0"/>
    <n v="2"/>
    <x v="2"/>
    <x v="0"/>
  </r>
  <r>
    <n v="52"/>
    <x v="1"/>
    <s v="Travel_Rarely"/>
    <n v="319"/>
    <x v="1"/>
    <n v="3"/>
    <n v="3"/>
    <s v="Medical"/>
    <n v="1"/>
    <x v="406"/>
    <n v="4"/>
    <s v="Male"/>
    <n v="39"/>
    <n v="2"/>
    <n v="3"/>
    <x v="3"/>
    <x v="2"/>
    <s v="Married"/>
    <n v="7969"/>
    <n v="19609"/>
    <n v="2"/>
    <s v="Y"/>
    <x v="0"/>
    <n v="14"/>
    <n v="3"/>
    <n v="3"/>
    <n v="80"/>
    <n v="0"/>
    <n v="28"/>
    <n v="4"/>
    <x v="1"/>
    <n v="5"/>
    <n v="4"/>
    <n v="0"/>
    <n v="4"/>
    <x v="3"/>
    <x v="2"/>
  </r>
  <r>
    <n v="45"/>
    <x v="1"/>
    <s v="Travel_Rarely"/>
    <n v="192"/>
    <x v="1"/>
    <n v="10"/>
    <n v="2"/>
    <s v="Life Sciences"/>
    <n v="1"/>
    <x v="407"/>
    <n v="1"/>
    <s v="Male"/>
    <n v="69"/>
    <n v="3"/>
    <n v="1"/>
    <x v="1"/>
    <x v="0"/>
    <s v="Married"/>
    <n v="2654"/>
    <n v="9655"/>
    <n v="3"/>
    <s v="Y"/>
    <x v="1"/>
    <n v="21"/>
    <n v="4"/>
    <n v="4"/>
    <n v="80"/>
    <n v="2"/>
    <n v="8"/>
    <n v="3"/>
    <x v="2"/>
    <n v="2"/>
    <n v="2"/>
    <n v="0"/>
    <n v="2"/>
    <x v="0"/>
    <x v="1"/>
  </r>
  <r>
    <n v="52"/>
    <x v="1"/>
    <s v="Travel_Rarely"/>
    <n v="1490"/>
    <x v="1"/>
    <n v="4"/>
    <n v="2"/>
    <s v="Life Sciences"/>
    <n v="1"/>
    <x v="408"/>
    <n v="4"/>
    <s v="Female"/>
    <n v="30"/>
    <n v="3"/>
    <n v="4"/>
    <x v="5"/>
    <x v="0"/>
    <s v="Married"/>
    <n v="16555"/>
    <n v="10310"/>
    <n v="2"/>
    <s v="Y"/>
    <x v="1"/>
    <n v="13"/>
    <n v="3"/>
    <n v="4"/>
    <n v="80"/>
    <n v="0"/>
    <n v="31"/>
    <n v="2"/>
    <x v="0"/>
    <n v="5"/>
    <n v="2"/>
    <n v="1"/>
    <n v="4"/>
    <x v="3"/>
    <x v="2"/>
  </r>
  <r>
    <n v="42"/>
    <x v="1"/>
    <s v="Travel_Frequently"/>
    <n v="532"/>
    <x v="1"/>
    <n v="29"/>
    <n v="2"/>
    <s v="Life Sciences"/>
    <n v="1"/>
    <x v="409"/>
    <n v="1"/>
    <s v="Female"/>
    <n v="92"/>
    <n v="3"/>
    <n v="2"/>
    <x v="1"/>
    <x v="2"/>
    <s v="Divorced"/>
    <n v="4556"/>
    <n v="12932"/>
    <n v="2"/>
    <s v="Y"/>
    <x v="1"/>
    <n v="11"/>
    <n v="3"/>
    <n v="2"/>
    <n v="80"/>
    <n v="1"/>
    <n v="19"/>
    <n v="3"/>
    <x v="1"/>
    <n v="5"/>
    <n v="4"/>
    <n v="0"/>
    <n v="2"/>
    <x v="0"/>
    <x v="0"/>
  </r>
  <r>
    <n v="30"/>
    <x v="1"/>
    <s v="Travel_Rarely"/>
    <n v="317"/>
    <x v="1"/>
    <n v="2"/>
    <n v="3"/>
    <s v="Life Sciences"/>
    <n v="1"/>
    <x v="410"/>
    <n v="3"/>
    <s v="Female"/>
    <n v="43"/>
    <n v="1"/>
    <n v="2"/>
    <x v="3"/>
    <x v="0"/>
    <s v="Single"/>
    <n v="6091"/>
    <n v="24793"/>
    <n v="2"/>
    <s v="Y"/>
    <x v="1"/>
    <n v="20"/>
    <n v="4"/>
    <n v="3"/>
    <n v="80"/>
    <n v="0"/>
    <n v="11"/>
    <n v="2"/>
    <x v="1"/>
    <n v="5"/>
    <n v="4"/>
    <n v="0"/>
    <n v="2"/>
    <x v="1"/>
    <x v="0"/>
  </r>
  <r>
    <n v="60"/>
    <x v="1"/>
    <s v="Travel_Rarely"/>
    <n v="422"/>
    <x v="1"/>
    <n v="7"/>
    <n v="3"/>
    <s v="Life Sciences"/>
    <n v="1"/>
    <x v="411"/>
    <n v="1"/>
    <s v="Female"/>
    <n v="41"/>
    <n v="3"/>
    <n v="5"/>
    <x v="5"/>
    <x v="3"/>
    <s v="Married"/>
    <n v="19566"/>
    <n v="3854"/>
    <n v="5"/>
    <s v="Y"/>
    <x v="1"/>
    <n v="11"/>
    <n v="3"/>
    <n v="4"/>
    <n v="80"/>
    <n v="0"/>
    <n v="33"/>
    <n v="5"/>
    <x v="0"/>
    <n v="29"/>
    <n v="8"/>
    <n v="11"/>
    <n v="10"/>
    <x v="3"/>
    <x v="2"/>
  </r>
  <r>
    <n v="46"/>
    <x v="1"/>
    <s v="Travel_Rarely"/>
    <n v="1485"/>
    <x v="1"/>
    <n v="18"/>
    <n v="3"/>
    <s v="Medical"/>
    <n v="1"/>
    <x v="412"/>
    <n v="3"/>
    <s v="Female"/>
    <n v="87"/>
    <n v="3"/>
    <n v="2"/>
    <x v="3"/>
    <x v="2"/>
    <s v="Divorced"/>
    <n v="4810"/>
    <n v="26314"/>
    <n v="2"/>
    <s v="Y"/>
    <x v="1"/>
    <n v="14"/>
    <n v="3"/>
    <n v="3"/>
    <n v="80"/>
    <n v="1"/>
    <n v="19"/>
    <n v="5"/>
    <x v="2"/>
    <n v="10"/>
    <n v="7"/>
    <n v="0"/>
    <n v="8"/>
    <x v="0"/>
    <x v="0"/>
  </r>
  <r>
    <n v="42"/>
    <x v="1"/>
    <s v="Travel_Frequently"/>
    <n v="1368"/>
    <x v="1"/>
    <n v="28"/>
    <n v="4"/>
    <s v="Technical Degree"/>
    <n v="1"/>
    <x v="413"/>
    <n v="4"/>
    <s v="Female"/>
    <n v="88"/>
    <n v="2"/>
    <n v="2"/>
    <x v="4"/>
    <x v="0"/>
    <s v="Married"/>
    <n v="4523"/>
    <n v="4386"/>
    <n v="0"/>
    <s v="Y"/>
    <x v="1"/>
    <n v="11"/>
    <n v="3"/>
    <n v="4"/>
    <n v="80"/>
    <n v="3"/>
    <n v="7"/>
    <n v="4"/>
    <x v="3"/>
    <n v="6"/>
    <n v="5"/>
    <n v="0"/>
    <n v="4"/>
    <x v="0"/>
    <x v="0"/>
  </r>
  <r>
    <n v="24"/>
    <x v="0"/>
    <s v="Travel_Rarely"/>
    <n v="1448"/>
    <x v="0"/>
    <n v="1"/>
    <n v="1"/>
    <s v="Technical Degree"/>
    <n v="1"/>
    <x v="414"/>
    <n v="1"/>
    <s v="Female"/>
    <n v="62"/>
    <n v="3"/>
    <n v="1"/>
    <x v="6"/>
    <x v="1"/>
    <s v="Single"/>
    <n v="3202"/>
    <n v="21972"/>
    <n v="1"/>
    <s v="Y"/>
    <x v="0"/>
    <n v="16"/>
    <n v="3"/>
    <n v="2"/>
    <n v="80"/>
    <n v="0"/>
    <n v="6"/>
    <n v="4"/>
    <x v="1"/>
    <n v="5"/>
    <n v="3"/>
    <n v="1"/>
    <n v="4"/>
    <x v="2"/>
    <x v="1"/>
  </r>
  <r>
    <n v="34"/>
    <x v="0"/>
    <s v="Travel_Frequently"/>
    <n v="296"/>
    <x v="0"/>
    <n v="6"/>
    <n v="2"/>
    <s v="Marketing"/>
    <n v="1"/>
    <x v="415"/>
    <n v="4"/>
    <s v="Female"/>
    <n v="33"/>
    <n v="1"/>
    <n v="1"/>
    <x v="6"/>
    <x v="2"/>
    <s v="Divorced"/>
    <n v="2351"/>
    <n v="12253"/>
    <n v="0"/>
    <s v="Y"/>
    <x v="1"/>
    <n v="16"/>
    <n v="3"/>
    <n v="4"/>
    <n v="80"/>
    <n v="1"/>
    <n v="3"/>
    <n v="3"/>
    <x v="2"/>
    <n v="2"/>
    <n v="2"/>
    <n v="1"/>
    <n v="0"/>
    <x v="1"/>
    <x v="1"/>
  </r>
  <r>
    <n v="38"/>
    <x v="1"/>
    <s v="Travel_Frequently"/>
    <n v="1490"/>
    <x v="1"/>
    <n v="2"/>
    <n v="2"/>
    <s v="Life Sciences"/>
    <n v="1"/>
    <x v="416"/>
    <n v="4"/>
    <s v="Male"/>
    <n v="42"/>
    <n v="3"/>
    <n v="1"/>
    <x v="2"/>
    <x v="0"/>
    <s v="Married"/>
    <n v="1702"/>
    <n v="12106"/>
    <n v="1"/>
    <s v="Y"/>
    <x v="0"/>
    <n v="23"/>
    <n v="4"/>
    <n v="3"/>
    <n v="80"/>
    <n v="1"/>
    <n v="1"/>
    <n v="3"/>
    <x v="1"/>
    <n v="1"/>
    <n v="0"/>
    <n v="0"/>
    <n v="0"/>
    <x v="1"/>
    <x v="1"/>
  </r>
  <r>
    <n v="40"/>
    <x v="1"/>
    <s v="Travel_Rarely"/>
    <n v="1398"/>
    <x v="0"/>
    <n v="2"/>
    <n v="4"/>
    <s v="Life Sciences"/>
    <n v="1"/>
    <x v="417"/>
    <n v="3"/>
    <s v="Female"/>
    <n v="79"/>
    <n v="3"/>
    <n v="5"/>
    <x v="5"/>
    <x v="2"/>
    <s v="Married"/>
    <n v="18041"/>
    <n v="13022"/>
    <n v="0"/>
    <s v="Y"/>
    <x v="1"/>
    <n v="14"/>
    <n v="3"/>
    <n v="4"/>
    <n v="80"/>
    <n v="0"/>
    <n v="21"/>
    <n v="2"/>
    <x v="1"/>
    <n v="20"/>
    <n v="15"/>
    <n v="1"/>
    <n v="12"/>
    <x v="1"/>
    <x v="2"/>
  </r>
  <r>
    <n v="26"/>
    <x v="1"/>
    <s v="Travel_Rarely"/>
    <n v="1349"/>
    <x v="1"/>
    <n v="23"/>
    <n v="3"/>
    <s v="Life Sciences"/>
    <n v="1"/>
    <x v="418"/>
    <n v="1"/>
    <s v="Female"/>
    <n v="90"/>
    <n v="3"/>
    <n v="1"/>
    <x v="1"/>
    <x v="0"/>
    <s v="Divorced"/>
    <n v="2886"/>
    <n v="3032"/>
    <n v="1"/>
    <s v="Y"/>
    <x v="1"/>
    <n v="22"/>
    <n v="4"/>
    <n v="2"/>
    <n v="80"/>
    <n v="2"/>
    <n v="3"/>
    <n v="3"/>
    <x v="0"/>
    <n v="3"/>
    <n v="2"/>
    <n v="0"/>
    <n v="2"/>
    <x v="2"/>
    <x v="1"/>
  </r>
  <r>
    <n v="30"/>
    <x v="1"/>
    <s v="Non-Travel"/>
    <n v="1400"/>
    <x v="1"/>
    <n v="3"/>
    <n v="3"/>
    <s v="Life Sciences"/>
    <n v="1"/>
    <x v="419"/>
    <n v="3"/>
    <s v="Male"/>
    <n v="53"/>
    <n v="3"/>
    <n v="1"/>
    <x v="2"/>
    <x v="0"/>
    <s v="Married"/>
    <n v="2097"/>
    <n v="16734"/>
    <n v="4"/>
    <s v="Y"/>
    <x v="1"/>
    <n v="15"/>
    <n v="3"/>
    <n v="3"/>
    <n v="80"/>
    <n v="1"/>
    <n v="9"/>
    <n v="3"/>
    <x v="0"/>
    <n v="5"/>
    <n v="3"/>
    <n v="1"/>
    <n v="4"/>
    <x v="1"/>
    <x v="1"/>
  </r>
  <r>
    <n v="29"/>
    <x v="1"/>
    <s v="Travel_Rarely"/>
    <n v="986"/>
    <x v="1"/>
    <n v="3"/>
    <n v="4"/>
    <s v="Medical"/>
    <n v="1"/>
    <x v="420"/>
    <n v="2"/>
    <s v="Male"/>
    <n v="93"/>
    <n v="2"/>
    <n v="3"/>
    <x v="7"/>
    <x v="2"/>
    <s v="Married"/>
    <n v="11935"/>
    <n v="21526"/>
    <n v="1"/>
    <s v="Y"/>
    <x v="1"/>
    <n v="18"/>
    <n v="3"/>
    <n v="3"/>
    <n v="80"/>
    <n v="0"/>
    <n v="10"/>
    <n v="2"/>
    <x v="1"/>
    <n v="10"/>
    <n v="2"/>
    <n v="0"/>
    <n v="7"/>
    <x v="2"/>
    <x v="2"/>
  </r>
  <r>
    <n v="29"/>
    <x v="0"/>
    <s v="Travel_Rarely"/>
    <n v="408"/>
    <x v="1"/>
    <n v="25"/>
    <n v="5"/>
    <s v="Technical Degree"/>
    <n v="1"/>
    <x v="421"/>
    <n v="3"/>
    <s v="Female"/>
    <n v="71"/>
    <n v="2"/>
    <n v="1"/>
    <x v="1"/>
    <x v="1"/>
    <s v="Married"/>
    <n v="2546"/>
    <n v="18300"/>
    <n v="5"/>
    <s v="Y"/>
    <x v="1"/>
    <n v="16"/>
    <n v="3"/>
    <n v="2"/>
    <n v="80"/>
    <n v="0"/>
    <n v="6"/>
    <n v="2"/>
    <x v="3"/>
    <n v="2"/>
    <n v="2"/>
    <n v="1"/>
    <n v="1"/>
    <x v="2"/>
    <x v="1"/>
  </r>
  <r>
    <n v="19"/>
    <x v="0"/>
    <s v="Travel_Rarely"/>
    <n v="489"/>
    <x v="2"/>
    <n v="2"/>
    <n v="2"/>
    <s v="Technical Degree"/>
    <n v="1"/>
    <x v="422"/>
    <n v="1"/>
    <s v="Male"/>
    <n v="52"/>
    <n v="2"/>
    <n v="1"/>
    <x v="8"/>
    <x v="0"/>
    <s v="Single"/>
    <n v="2564"/>
    <n v="18437"/>
    <n v="1"/>
    <s v="Y"/>
    <x v="1"/>
    <n v="12"/>
    <n v="3"/>
    <n v="3"/>
    <n v="80"/>
    <n v="0"/>
    <n v="1"/>
    <n v="3"/>
    <x v="3"/>
    <n v="1"/>
    <n v="0"/>
    <n v="0"/>
    <n v="0"/>
    <x v="2"/>
    <x v="1"/>
  </r>
  <r>
    <n v="30"/>
    <x v="1"/>
    <s v="Non-Travel"/>
    <n v="1398"/>
    <x v="0"/>
    <n v="22"/>
    <n v="4"/>
    <s v="Other"/>
    <n v="1"/>
    <x v="423"/>
    <n v="3"/>
    <s v="Female"/>
    <n v="69"/>
    <n v="3"/>
    <n v="3"/>
    <x v="0"/>
    <x v="3"/>
    <s v="Married"/>
    <n v="8412"/>
    <n v="2890"/>
    <n v="0"/>
    <s v="Y"/>
    <x v="1"/>
    <n v="11"/>
    <n v="3"/>
    <n v="3"/>
    <n v="80"/>
    <n v="0"/>
    <n v="10"/>
    <n v="3"/>
    <x v="1"/>
    <n v="9"/>
    <n v="8"/>
    <n v="7"/>
    <n v="8"/>
    <x v="1"/>
    <x v="2"/>
  </r>
  <r>
    <n v="57"/>
    <x v="1"/>
    <s v="Travel_Rarely"/>
    <n v="210"/>
    <x v="0"/>
    <n v="29"/>
    <n v="3"/>
    <s v="Marketing"/>
    <n v="1"/>
    <x v="424"/>
    <n v="1"/>
    <s v="Male"/>
    <n v="56"/>
    <n v="2"/>
    <n v="4"/>
    <x v="5"/>
    <x v="0"/>
    <s v="Divorced"/>
    <n v="14118"/>
    <n v="22102"/>
    <n v="3"/>
    <s v="Y"/>
    <x v="1"/>
    <n v="12"/>
    <n v="3"/>
    <n v="3"/>
    <n v="80"/>
    <n v="1"/>
    <n v="32"/>
    <n v="3"/>
    <x v="2"/>
    <n v="1"/>
    <n v="0"/>
    <n v="0"/>
    <n v="0"/>
    <x v="3"/>
    <x v="2"/>
  </r>
  <r>
    <n v="50"/>
    <x v="1"/>
    <s v="Travel_Rarely"/>
    <n v="1099"/>
    <x v="1"/>
    <n v="29"/>
    <n v="4"/>
    <s v="Life Sciences"/>
    <n v="1"/>
    <x v="425"/>
    <n v="2"/>
    <s v="Male"/>
    <n v="88"/>
    <n v="2"/>
    <n v="4"/>
    <x v="5"/>
    <x v="2"/>
    <s v="Married"/>
    <n v="17046"/>
    <n v="9314"/>
    <n v="0"/>
    <s v="Y"/>
    <x v="1"/>
    <n v="15"/>
    <n v="3"/>
    <n v="2"/>
    <n v="80"/>
    <n v="1"/>
    <n v="28"/>
    <n v="2"/>
    <x v="1"/>
    <n v="27"/>
    <n v="10"/>
    <n v="15"/>
    <n v="7"/>
    <x v="0"/>
    <x v="2"/>
  </r>
  <r>
    <n v="30"/>
    <x v="1"/>
    <s v="Non-Travel"/>
    <n v="1116"/>
    <x v="1"/>
    <n v="2"/>
    <n v="3"/>
    <s v="Medical"/>
    <n v="1"/>
    <x v="426"/>
    <n v="3"/>
    <s v="Female"/>
    <n v="49"/>
    <n v="3"/>
    <n v="1"/>
    <x v="2"/>
    <x v="0"/>
    <s v="Single"/>
    <n v="2564"/>
    <n v="7181"/>
    <n v="0"/>
    <s v="Y"/>
    <x v="1"/>
    <n v="14"/>
    <n v="3"/>
    <n v="3"/>
    <n v="80"/>
    <n v="0"/>
    <n v="12"/>
    <n v="2"/>
    <x v="2"/>
    <n v="11"/>
    <n v="7"/>
    <n v="6"/>
    <n v="7"/>
    <x v="1"/>
    <x v="1"/>
  </r>
  <r>
    <n v="60"/>
    <x v="1"/>
    <s v="Travel_Frequently"/>
    <n v="1499"/>
    <x v="0"/>
    <n v="28"/>
    <n v="3"/>
    <s v="Marketing"/>
    <n v="1"/>
    <x v="427"/>
    <n v="3"/>
    <s v="Female"/>
    <n v="80"/>
    <n v="2"/>
    <n v="3"/>
    <x v="0"/>
    <x v="3"/>
    <s v="Married"/>
    <n v="10266"/>
    <n v="2845"/>
    <n v="4"/>
    <s v="Y"/>
    <x v="1"/>
    <n v="19"/>
    <n v="3"/>
    <n v="4"/>
    <n v="80"/>
    <n v="0"/>
    <n v="22"/>
    <n v="5"/>
    <x v="3"/>
    <n v="18"/>
    <n v="13"/>
    <n v="13"/>
    <n v="11"/>
    <x v="3"/>
    <x v="2"/>
  </r>
  <r>
    <n v="47"/>
    <x v="1"/>
    <s v="Travel_Rarely"/>
    <n v="983"/>
    <x v="1"/>
    <n v="2"/>
    <n v="2"/>
    <s v="Medical"/>
    <n v="1"/>
    <x v="428"/>
    <n v="1"/>
    <s v="Female"/>
    <n v="65"/>
    <n v="3"/>
    <n v="2"/>
    <x v="3"/>
    <x v="0"/>
    <s v="Divorced"/>
    <n v="5070"/>
    <n v="7389"/>
    <n v="5"/>
    <s v="Y"/>
    <x v="1"/>
    <n v="13"/>
    <n v="3"/>
    <n v="3"/>
    <n v="80"/>
    <n v="3"/>
    <n v="20"/>
    <n v="2"/>
    <x v="1"/>
    <n v="5"/>
    <n v="0"/>
    <n v="0"/>
    <n v="4"/>
    <x v="0"/>
    <x v="0"/>
  </r>
  <r>
    <n v="46"/>
    <x v="1"/>
    <s v="Travel_Rarely"/>
    <n v="1009"/>
    <x v="1"/>
    <n v="2"/>
    <n v="3"/>
    <s v="Life Sciences"/>
    <n v="1"/>
    <x v="429"/>
    <n v="1"/>
    <s v="Male"/>
    <n v="51"/>
    <n v="3"/>
    <n v="4"/>
    <x v="7"/>
    <x v="2"/>
    <s v="Married"/>
    <n v="17861"/>
    <n v="2288"/>
    <n v="6"/>
    <s v="Y"/>
    <x v="1"/>
    <n v="13"/>
    <n v="3"/>
    <n v="3"/>
    <n v="80"/>
    <n v="0"/>
    <n v="26"/>
    <n v="2"/>
    <x v="0"/>
    <n v="3"/>
    <n v="2"/>
    <n v="0"/>
    <n v="1"/>
    <x v="0"/>
    <x v="2"/>
  </r>
  <r>
    <n v="35"/>
    <x v="1"/>
    <s v="Travel_Rarely"/>
    <n v="144"/>
    <x v="1"/>
    <n v="22"/>
    <n v="3"/>
    <s v="Life Sciences"/>
    <n v="1"/>
    <x v="430"/>
    <n v="4"/>
    <s v="Male"/>
    <n v="46"/>
    <n v="1"/>
    <n v="1"/>
    <x v="2"/>
    <x v="2"/>
    <s v="Single"/>
    <n v="4230"/>
    <n v="19225"/>
    <n v="0"/>
    <s v="Y"/>
    <x v="1"/>
    <n v="15"/>
    <n v="3"/>
    <n v="3"/>
    <n v="80"/>
    <n v="0"/>
    <n v="6"/>
    <n v="2"/>
    <x v="1"/>
    <n v="5"/>
    <n v="4"/>
    <n v="4"/>
    <n v="3"/>
    <x v="1"/>
    <x v="0"/>
  </r>
  <r>
    <n v="54"/>
    <x v="1"/>
    <s v="Travel_Rarely"/>
    <n v="548"/>
    <x v="1"/>
    <n v="8"/>
    <n v="4"/>
    <s v="Life Sciences"/>
    <n v="1"/>
    <x v="431"/>
    <n v="3"/>
    <s v="Female"/>
    <n v="42"/>
    <n v="3"/>
    <n v="2"/>
    <x v="2"/>
    <x v="2"/>
    <s v="Single"/>
    <n v="3780"/>
    <n v="23428"/>
    <n v="7"/>
    <s v="Y"/>
    <x v="1"/>
    <n v="11"/>
    <n v="3"/>
    <n v="3"/>
    <n v="80"/>
    <n v="0"/>
    <n v="19"/>
    <n v="3"/>
    <x v="1"/>
    <n v="1"/>
    <n v="0"/>
    <n v="0"/>
    <n v="0"/>
    <x v="3"/>
    <x v="1"/>
  </r>
  <r>
    <n v="34"/>
    <x v="1"/>
    <s v="Travel_Rarely"/>
    <n v="1303"/>
    <x v="1"/>
    <n v="2"/>
    <n v="4"/>
    <s v="Life Sciences"/>
    <n v="1"/>
    <x v="432"/>
    <n v="4"/>
    <s v="Male"/>
    <n v="62"/>
    <n v="2"/>
    <n v="1"/>
    <x v="1"/>
    <x v="2"/>
    <s v="Divorced"/>
    <n v="2768"/>
    <n v="8416"/>
    <n v="3"/>
    <s v="Y"/>
    <x v="1"/>
    <n v="12"/>
    <n v="3"/>
    <n v="3"/>
    <n v="80"/>
    <n v="1"/>
    <n v="14"/>
    <n v="3"/>
    <x v="1"/>
    <n v="7"/>
    <n v="3"/>
    <n v="5"/>
    <n v="7"/>
    <x v="1"/>
    <x v="1"/>
  </r>
  <r>
    <n v="46"/>
    <x v="1"/>
    <s v="Travel_Rarely"/>
    <n v="1125"/>
    <x v="0"/>
    <n v="10"/>
    <n v="3"/>
    <s v="Marketing"/>
    <n v="1"/>
    <x v="433"/>
    <n v="3"/>
    <s v="Female"/>
    <n v="94"/>
    <n v="2"/>
    <n v="3"/>
    <x v="0"/>
    <x v="0"/>
    <s v="Married"/>
    <n v="9071"/>
    <n v="11563"/>
    <n v="2"/>
    <s v="Y"/>
    <x v="0"/>
    <n v="19"/>
    <n v="3"/>
    <n v="3"/>
    <n v="80"/>
    <n v="1"/>
    <n v="15"/>
    <n v="3"/>
    <x v="1"/>
    <n v="3"/>
    <n v="2"/>
    <n v="1"/>
    <n v="2"/>
    <x v="0"/>
    <x v="2"/>
  </r>
  <r>
    <n v="31"/>
    <x v="1"/>
    <s v="Travel_Rarely"/>
    <n v="1274"/>
    <x v="1"/>
    <n v="9"/>
    <n v="1"/>
    <s v="Life Sciences"/>
    <n v="1"/>
    <x v="434"/>
    <n v="3"/>
    <s v="Male"/>
    <n v="33"/>
    <n v="3"/>
    <n v="3"/>
    <x v="3"/>
    <x v="1"/>
    <s v="Divorced"/>
    <n v="10648"/>
    <n v="14394"/>
    <n v="1"/>
    <s v="Y"/>
    <x v="1"/>
    <n v="25"/>
    <n v="4"/>
    <n v="4"/>
    <n v="80"/>
    <n v="1"/>
    <n v="13"/>
    <n v="6"/>
    <x v="3"/>
    <n v="13"/>
    <n v="8"/>
    <n v="0"/>
    <n v="8"/>
    <x v="1"/>
    <x v="2"/>
  </r>
  <r>
    <n v="33"/>
    <x v="0"/>
    <s v="Travel_Rarely"/>
    <n v="1277"/>
    <x v="1"/>
    <n v="15"/>
    <n v="1"/>
    <s v="Medical"/>
    <n v="1"/>
    <x v="435"/>
    <n v="2"/>
    <s v="Male"/>
    <n v="56"/>
    <n v="3"/>
    <n v="3"/>
    <x v="5"/>
    <x v="2"/>
    <s v="Married"/>
    <n v="13610"/>
    <n v="24619"/>
    <n v="7"/>
    <s v="Y"/>
    <x v="0"/>
    <n v="12"/>
    <n v="3"/>
    <n v="4"/>
    <n v="80"/>
    <n v="0"/>
    <n v="15"/>
    <n v="2"/>
    <x v="3"/>
    <n v="7"/>
    <n v="6"/>
    <n v="7"/>
    <n v="7"/>
    <x v="1"/>
    <x v="2"/>
  </r>
  <r>
    <n v="33"/>
    <x v="0"/>
    <s v="Travel_Rarely"/>
    <n v="587"/>
    <x v="1"/>
    <n v="10"/>
    <n v="1"/>
    <s v="Medical"/>
    <n v="1"/>
    <x v="436"/>
    <n v="1"/>
    <s v="Male"/>
    <n v="38"/>
    <n v="1"/>
    <n v="1"/>
    <x v="2"/>
    <x v="0"/>
    <s v="Divorced"/>
    <n v="3408"/>
    <n v="6705"/>
    <n v="7"/>
    <s v="Y"/>
    <x v="1"/>
    <n v="13"/>
    <n v="3"/>
    <n v="1"/>
    <n v="80"/>
    <n v="3"/>
    <n v="8"/>
    <n v="2"/>
    <x v="1"/>
    <n v="4"/>
    <n v="3"/>
    <n v="1"/>
    <n v="3"/>
    <x v="1"/>
    <x v="1"/>
  </r>
  <r>
    <n v="30"/>
    <x v="1"/>
    <s v="Travel_Rarely"/>
    <n v="413"/>
    <x v="0"/>
    <n v="7"/>
    <n v="1"/>
    <s v="Marketing"/>
    <n v="1"/>
    <x v="437"/>
    <n v="4"/>
    <s v="Male"/>
    <n v="57"/>
    <n v="3"/>
    <n v="1"/>
    <x v="6"/>
    <x v="1"/>
    <s v="Single"/>
    <n v="2983"/>
    <n v="18398"/>
    <n v="0"/>
    <s v="Y"/>
    <x v="1"/>
    <n v="14"/>
    <n v="3"/>
    <n v="1"/>
    <n v="80"/>
    <n v="0"/>
    <n v="4"/>
    <n v="3"/>
    <x v="1"/>
    <n v="3"/>
    <n v="2"/>
    <n v="1"/>
    <n v="2"/>
    <x v="1"/>
    <x v="1"/>
  </r>
  <r>
    <n v="35"/>
    <x v="1"/>
    <s v="Travel_Rarely"/>
    <n v="1276"/>
    <x v="1"/>
    <n v="16"/>
    <n v="3"/>
    <s v="Life Sciences"/>
    <n v="1"/>
    <x v="438"/>
    <n v="4"/>
    <s v="Male"/>
    <n v="72"/>
    <n v="3"/>
    <n v="3"/>
    <x v="4"/>
    <x v="2"/>
    <s v="Married"/>
    <n v="7632"/>
    <n v="14295"/>
    <n v="4"/>
    <s v="Y"/>
    <x v="0"/>
    <n v="12"/>
    <n v="3"/>
    <n v="3"/>
    <n v="80"/>
    <n v="0"/>
    <n v="10"/>
    <n v="2"/>
    <x v="1"/>
    <n v="8"/>
    <n v="7"/>
    <n v="0"/>
    <n v="0"/>
    <x v="1"/>
    <x v="2"/>
  </r>
  <r>
    <n v="31"/>
    <x v="0"/>
    <s v="Travel_Frequently"/>
    <n v="534"/>
    <x v="1"/>
    <n v="20"/>
    <n v="3"/>
    <s v="Life Sciences"/>
    <n v="1"/>
    <x v="439"/>
    <n v="1"/>
    <s v="Male"/>
    <n v="66"/>
    <n v="3"/>
    <n v="3"/>
    <x v="4"/>
    <x v="2"/>
    <s v="Married"/>
    <n v="9824"/>
    <n v="22908"/>
    <n v="3"/>
    <s v="Y"/>
    <x v="1"/>
    <n v="12"/>
    <n v="3"/>
    <n v="1"/>
    <n v="80"/>
    <n v="0"/>
    <n v="12"/>
    <n v="2"/>
    <x v="1"/>
    <n v="1"/>
    <n v="0"/>
    <n v="0"/>
    <n v="0"/>
    <x v="1"/>
    <x v="2"/>
  </r>
  <r>
    <n v="34"/>
    <x v="0"/>
    <s v="Travel_Frequently"/>
    <n v="988"/>
    <x v="2"/>
    <n v="23"/>
    <n v="3"/>
    <s v="Human Resources"/>
    <n v="1"/>
    <x v="440"/>
    <n v="2"/>
    <s v="Female"/>
    <n v="43"/>
    <n v="3"/>
    <n v="3"/>
    <x v="8"/>
    <x v="3"/>
    <s v="Divorced"/>
    <n v="9950"/>
    <n v="11533"/>
    <n v="9"/>
    <s v="Y"/>
    <x v="0"/>
    <n v="15"/>
    <n v="3"/>
    <n v="3"/>
    <n v="80"/>
    <n v="3"/>
    <n v="11"/>
    <n v="2"/>
    <x v="1"/>
    <n v="3"/>
    <n v="2"/>
    <n v="0"/>
    <n v="2"/>
    <x v="1"/>
    <x v="2"/>
  </r>
  <r>
    <n v="42"/>
    <x v="1"/>
    <s v="Travel_Frequently"/>
    <n v="1474"/>
    <x v="1"/>
    <n v="5"/>
    <n v="2"/>
    <s v="Other"/>
    <n v="1"/>
    <x v="441"/>
    <n v="2"/>
    <s v="Male"/>
    <n v="97"/>
    <n v="3"/>
    <n v="1"/>
    <x v="2"/>
    <x v="2"/>
    <s v="Married"/>
    <n v="2093"/>
    <n v="9260"/>
    <n v="4"/>
    <s v="Y"/>
    <x v="1"/>
    <n v="17"/>
    <n v="3"/>
    <n v="4"/>
    <n v="80"/>
    <n v="1"/>
    <n v="8"/>
    <n v="4"/>
    <x v="1"/>
    <n v="2"/>
    <n v="2"/>
    <n v="2"/>
    <n v="0"/>
    <x v="0"/>
    <x v="1"/>
  </r>
  <r>
    <n v="36"/>
    <x v="1"/>
    <s v="Non-Travel"/>
    <n v="635"/>
    <x v="0"/>
    <n v="10"/>
    <n v="4"/>
    <s v="Medical"/>
    <n v="1"/>
    <x v="442"/>
    <n v="2"/>
    <s v="Male"/>
    <n v="32"/>
    <n v="3"/>
    <n v="3"/>
    <x v="0"/>
    <x v="0"/>
    <s v="Single"/>
    <n v="9980"/>
    <n v="15318"/>
    <n v="1"/>
    <s v="Y"/>
    <x v="1"/>
    <n v="14"/>
    <n v="3"/>
    <n v="4"/>
    <n v="80"/>
    <n v="0"/>
    <n v="10"/>
    <n v="3"/>
    <x v="2"/>
    <n v="10"/>
    <n v="3"/>
    <n v="9"/>
    <n v="7"/>
    <x v="1"/>
    <x v="2"/>
  </r>
  <r>
    <n v="22"/>
    <x v="0"/>
    <s v="Travel_Frequently"/>
    <n v="1368"/>
    <x v="1"/>
    <n v="4"/>
    <n v="1"/>
    <s v="Technical Degree"/>
    <n v="1"/>
    <x v="443"/>
    <n v="3"/>
    <s v="Male"/>
    <n v="99"/>
    <n v="2"/>
    <n v="1"/>
    <x v="2"/>
    <x v="2"/>
    <s v="Single"/>
    <n v="3894"/>
    <n v="9129"/>
    <n v="5"/>
    <s v="Y"/>
    <x v="1"/>
    <n v="16"/>
    <n v="3"/>
    <n v="3"/>
    <n v="80"/>
    <n v="0"/>
    <n v="4"/>
    <n v="3"/>
    <x v="1"/>
    <n v="2"/>
    <n v="2"/>
    <n v="1"/>
    <n v="2"/>
    <x v="2"/>
    <x v="1"/>
  </r>
  <r>
    <n v="48"/>
    <x v="1"/>
    <s v="Travel_Rarely"/>
    <n v="163"/>
    <x v="0"/>
    <n v="2"/>
    <n v="5"/>
    <s v="Marketing"/>
    <n v="1"/>
    <x v="444"/>
    <n v="2"/>
    <s v="Female"/>
    <n v="37"/>
    <n v="3"/>
    <n v="2"/>
    <x v="0"/>
    <x v="0"/>
    <s v="Married"/>
    <n v="4051"/>
    <n v="19658"/>
    <n v="2"/>
    <s v="Y"/>
    <x v="1"/>
    <n v="14"/>
    <n v="3"/>
    <n v="1"/>
    <n v="80"/>
    <n v="1"/>
    <n v="14"/>
    <n v="2"/>
    <x v="1"/>
    <n v="9"/>
    <n v="7"/>
    <n v="6"/>
    <n v="7"/>
    <x v="0"/>
    <x v="0"/>
  </r>
  <r>
    <n v="55"/>
    <x v="1"/>
    <s v="Travel_Rarely"/>
    <n v="1117"/>
    <x v="0"/>
    <n v="18"/>
    <n v="5"/>
    <s v="Life Sciences"/>
    <n v="1"/>
    <x v="445"/>
    <n v="1"/>
    <s v="Female"/>
    <n v="83"/>
    <n v="3"/>
    <n v="4"/>
    <x v="5"/>
    <x v="1"/>
    <s v="Single"/>
    <n v="16835"/>
    <n v="9873"/>
    <n v="3"/>
    <s v="Y"/>
    <x v="1"/>
    <n v="23"/>
    <n v="4"/>
    <n v="4"/>
    <n v="80"/>
    <n v="0"/>
    <n v="37"/>
    <n v="2"/>
    <x v="1"/>
    <n v="10"/>
    <n v="9"/>
    <n v="7"/>
    <n v="7"/>
    <x v="3"/>
    <x v="2"/>
  </r>
  <r>
    <n v="41"/>
    <x v="1"/>
    <s v="Non-Travel"/>
    <n v="267"/>
    <x v="0"/>
    <n v="10"/>
    <n v="2"/>
    <s v="Life Sciences"/>
    <n v="1"/>
    <x v="446"/>
    <n v="4"/>
    <s v="Male"/>
    <n v="56"/>
    <n v="3"/>
    <n v="2"/>
    <x v="0"/>
    <x v="0"/>
    <s v="Single"/>
    <n v="6230"/>
    <n v="13430"/>
    <n v="7"/>
    <s v="Y"/>
    <x v="1"/>
    <n v="14"/>
    <n v="3"/>
    <n v="4"/>
    <n v="80"/>
    <n v="0"/>
    <n v="16"/>
    <n v="3"/>
    <x v="1"/>
    <n v="14"/>
    <n v="3"/>
    <n v="1"/>
    <n v="10"/>
    <x v="0"/>
    <x v="0"/>
  </r>
  <r>
    <n v="35"/>
    <x v="1"/>
    <s v="Travel_Rarely"/>
    <n v="619"/>
    <x v="0"/>
    <n v="1"/>
    <n v="3"/>
    <s v="Marketing"/>
    <n v="1"/>
    <x v="447"/>
    <n v="2"/>
    <s v="Male"/>
    <n v="85"/>
    <n v="3"/>
    <n v="2"/>
    <x v="0"/>
    <x v="2"/>
    <s v="Married"/>
    <n v="4717"/>
    <n v="18659"/>
    <n v="9"/>
    <s v="Y"/>
    <x v="1"/>
    <n v="11"/>
    <n v="3"/>
    <n v="3"/>
    <n v="80"/>
    <n v="0"/>
    <n v="15"/>
    <n v="2"/>
    <x v="1"/>
    <n v="11"/>
    <n v="9"/>
    <n v="6"/>
    <n v="9"/>
    <x v="1"/>
    <x v="0"/>
  </r>
  <r>
    <n v="40"/>
    <x v="1"/>
    <s v="Travel_Rarely"/>
    <n v="302"/>
    <x v="1"/>
    <n v="6"/>
    <n v="3"/>
    <s v="Life Sciences"/>
    <n v="1"/>
    <x v="448"/>
    <n v="2"/>
    <s v="Female"/>
    <n v="75"/>
    <n v="3"/>
    <n v="4"/>
    <x v="3"/>
    <x v="2"/>
    <s v="Single"/>
    <n v="13237"/>
    <n v="20364"/>
    <n v="7"/>
    <s v="Y"/>
    <x v="1"/>
    <n v="15"/>
    <n v="3"/>
    <n v="3"/>
    <n v="80"/>
    <n v="0"/>
    <n v="22"/>
    <n v="3"/>
    <x v="1"/>
    <n v="20"/>
    <n v="6"/>
    <n v="5"/>
    <n v="13"/>
    <x v="1"/>
    <x v="2"/>
  </r>
  <r>
    <n v="39"/>
    <x v="1"/>
    <s v="Travel_Frequently"/>
    <n v="443"/>
    <x v="1"/>
    <n v="8"/>
    <n v="1"/>
    <s v="Life Sciences"/>
    <n v="1"/>
    <x v="449"/>
    <n v="3"/>
    <s v="Female"/>
    <n v="48"/>
    <n v="3"/>
    <n v="1"/>
    <x v="2"/>
    <x v="2"/>
    <s v="Married"/>
    <n v="3755"/>
    <n v="17872"/>
    <n v="1"/>
    <s v="Y"/>
    <x v="1"/>
    <n v="11"/>
    <n v="3"/>
    <n v="1"/>
    <n v="80"/>
    <n v="1"/>
    <n v="8"/>
    <n v="3"/>
    <x v="1"/>
    <n v="8"/>
    <n v="3"/>
    <n v="0"/>
    <n v="7"/>
    <x v="1"/>
    <x v="1"/>
  </r>
  <r>
    <n v="31"/>
    <x v="1"/>
    <s v="Travel_Rarely"/>
    <n v="828"/>
    <x v="0"/>
    <n v="2"/>
    <n v="1"/>
    <s v="Life Sciences"/>
    <n v="1"/>
    <x v="450"/>
    <n v="2"/>
    <s v="Male"/>
    <n v="77"/>
    <n v="3"/>
    <n v="2"/>
    <x v="0"/>
    <x v="0"/>
    <s v="Single"/>
    <n v="6582"/>
    <n v="8346"/>
    <n v="4"/>
    <s v="Y"/>
    <x v="0"/>
    <n v="13"/>
    <n v="3"/>
    <n v="3"/>
    <n v="80"/>
    <n v="0"/>
    <n v="10"/>
    <n v="2"/>
    <x v="3"/>
    <n v="6"/>
    <n v="5"/>
    <n v="0"/>
    <n v="5"/>
    <x v="1"/>
    <x v="0"/>
  </r>
  <r>
    <n v="42"/>
    <x v="1"/>
    <s v="Travel_Rarely"/>
    <n v="319"/>
    <x v="1"/>
    <n v="24"/>
    <n v="3"/>
    <s v="Medical"/>
    <n v="1"/>
    <x v="451"/>
    <n v="4"/>
    <s v="Male"/>
    <n v="56"/>
    <n v="3"/>
    <n v="3"/>
    <x v="3"/>
    <x v="3"/>
    <s v="Married"/>
    <n v="7406"/>
    <n v="6950"/>
    <n v="1"/>
    <s v="Y"/>
    <x v="0"/>
    <n v="21"/>
    <n v="4"/>
    <n v="4"/>
    <n v="80"/>
    <n v="1"/>
    <n v="10"/>
    <n v="5"/>
    <x v="2"/>
    <n v="10"/>
    <n v="9"/>
    <n v="5"/>
    <n v="8"/>
    <x v="0"/>
    <x v="2"/>
  </r>
  <r>
    <n v="45"/>
    <x v="1"/>
    <s v="Travel_Rarely"/>
    <n v="561"/>
    <x v="0"/>
    <n v="2"/>
    <n v="3"/>
    <s v="Other"/>
    <n v="1"/>
    <x v="452"/>
    <n v="4"/>
    <s v="Male"/>
    <n v="61"/>
    <n v="3"/>
    <n v="2"/>
    <x v="0"/>
    <x v="1"/>
    <s v="Married"/>
    <n v="4805"/>
    <n v="16177"/>
    <n v="0"/>
    <s v="Y"/>
    <x v="1"/>
    <n v="19"/>
    <n v="3"/>
    <n v="2"/>
    <n v="80"/>
    <n v="1"/>
    <n v="9"/>
    <n v="3"/>
    <x v="3"/>
    <n v="8"/>
    <n v="7"/>
    <n v="3"/>
    <n v="7"/>
    <x v="0"/>
    <x v="0"/>
  </r>
  <r>
    <n v="26"/>
    <x v="0"/>
    <s v="Travel_Frequently"/>
    <n v="426"/>
    <x v="2"/>
    <n v="17"/>
    <n v="4"/>
    <s v="Life Sciences"/>
    <n v="1"/>
    <x v="453"/>
    <n v="2"/>
    <s v="Female"/>
    <n v="58"/>
    <n v="3"/>
    <n v="1"/>
    <x v="8"/>
    <x v="2"/>
    <s v="Divorced"/>
    <n v="2741"/>
    <n v="22808"/>
    <n v="0"/>
    <s v="Y"/>
    <x v="0"/>
    <n v="11"/>
    <n v="3"/>
    <n v="2"/>
    <n v="80"/>
    <n v="1"/>
    <n v="8"/>
    <n v="2"/>
    <x v="2"/>
    <n v="7"/>
    <n v="7"/>
    <n v="1"/>
    <n v="0"/>
    <x v="2"/>
    <x v="1"/>
  </r>
  <r>
    <n v="29"/>
    <x v="1"/>
    <s v="Travel_Rarely"/>
    <n v="232"/>
    <x v="1"/>
    <n v="19"/>
    <n v="3"/>
    <s v="Technical Degree"/>
    <n v="1"/>
    <x v="454"/>
    <n v="4"/>
    <s v="Male"/>
    <n v="34"/>
    <n v="3"/>
    <n v="2"/>
    <x v="3"/>
    <x v="0"/>
    <s v="Divorced"/>
    <n v="4262"/>
    <n v="22645"/>
    <n v="4"/>
    <s v="Y"/>
    <x v="1"/>
    <n v="12"/>
    <n v="3"/>
    <n v="2"/>
    <n v="80"/>
    <n v="2"/>
    <n v="8"/>
    <n v="2"/>
    <x v="3"/>
    <n v="3"/>
    <n v="2"/>
    <n v="1"/>
    <n v="2"/>
    <x v="2"/>
    <x v="0"/>
  </r>
  <r>
    <n v="33"/>
    <x v="1"/>
    <s v="Travel_Rarely"/>
    <n v="922"/>
    <x v="1"/>
    <n v="1"/>
    <n v="5"/>
    <s v="Medical"/>
    <n v="1"/>
    <x v="455"/>
    <n v="1"/>
    <s v="Female"/>
    <n v="95"/>
    <n v="4"/>
    <n v="4"/>
    <x v="7"/>
    <x v="2"/>
    <s v="Divorced"/>
    <n v="16184"/>
    <n v="22578"/>
    <n v="4"/>
    <s v="Y"/>
    <x v="1"/>
    <n v="19"/>
    <n v="3"/>
    <n v="3"/>
    <n v="80"/>
    <n v="1"/>
    <n v="10"/>
    <n v="2"/>
    <x v="1"/>
    <n v="6"/>
    <n v="1"/>
    <n v="0"/>
    <n v="5"/>
    <x v="1"/>
    <x v="2"/>
  </r>
  <r>
    <n v="31"/>
    <x v="1"/>
    <s v="Travel_Rarely"/>
    <n v="688"/>
    <x v="0"/>
    <n v="7"/>
    <n v="3"/>
    <s v="Life Sciences"/>
    <n v="1"/>
    <x v="456"/>
    <n v="3"/>
    <s v="Male"/>
    <n v="44"/>
    <n v="2"/>
    <n v="3"/>
    <x v="5"/>
    <x v="0"/>
    <s v="Divorced"/>
    <n v="11557"/>
    <n v="25291"/>
    <n v="9"/>
    <s v="Y"/>
    <x v="1"/>
    <n v="21"/>
    <n v="4"/>
    <n v="3"/>
    <n v="80"/>
    <n v="1"/>
    <n v="10"/>
    <n v="3"/>
    <x v="2"/>
    <n v="5"/>
    <n v="4"/>
    <n v="0"/>
    <n v="1"/>
    <x v="1"/>
    <x v="2"/>
  </r>
  <r>
    <n v="18"/>
    <x v="0"/>
    <s v="Travel_Frequently"/>
    <n v="1306"/>
    <x v="0"/>
    <n v="5"/>
    <n v="3"/>
    <s v="Marketing"/>
    <n v="1"/>
    <x v="457"/>
    <n v="2"/>
    <s v="Male"/>
    <n v="69"/>
    <n v="3"/>
    <n v="1"/>
    <x v="6"/>
    <x v="1"/>
    <s v="Single"/>
    <n v="1878"/>
    <n v="8059"/>
    <n v="1"/>
    <s v="Y"/>
    <x v="0"/>
    <n v="14"/>
    <n v="3"/>
    <n v="4"/>
    <n v="80"/>
    <n v="0"/>
    <n v="0"/>
    <n v="3"/>
    <x v="1"/>
    <n v="0"/>
    <n v="0"/>
    <n v="0"/>
    <n v="0"/>
    <x v="2"/>
    <x v="1"/>
  </r>
  <r>
    <n v="40"/>
    <x v="1"/>
    <s v="Non-Travel"/>
    <n v="1094"/>
    <x v="0"/>
    <n v="28"/>
    <n v="3"/>
    <s v="Other"/>
    <n v="1"/>
    <x v="458"/>
    <n v="3"/>
    <s v="Male"/>
    <n v="58"/>
    <n v="1"/>
    <n v="3"/>
    <x v="0"/>
    <x v="3"/>
    <s v="Divorced"/>
    <n v="10932"/>
    <n v="11373"/>
    <n v="3"/>
    <s v="Y"/>
    <x v="1"/>
    <n v="15"/>
    <n v="3"/>
    <n v="3"/>
    <n v="80"/>
    <n v="1"/>
    <n v="20"/>
    <n v="2"/>
    <x v="1"/>
    <n v="1"/>
    <n v="0"/>
    <n v="0"/>
    <n v="1"/>
    <x v="1"/>
    <x v="2"/>
  </r>
  <r>
    <n v="41"/>
    <x v="1"/>
    <s v="Non-Travel"/>
    <n v="509"/>
    <x v="1"/>
    <n v="2"/>
    <n v="4"/>
    <s v="Other"/>
    <n v="1"/>
    <x v="459"/>
    <n v="1"/>
    <s v="Female"/>
    <n v="62"/>
    <n v="2"/>
    <n v="2"/>
    <x v="4"/>
    <x v="2"/>
    <s v="Single"/>
    <n v="6811"/>
    <n v="2112"/>
    <n v="2"/>
    <s v="Y"/>
    <x v="0"/>
    <n v="17"/>
    <n v="3"/>
    <n v="1"/>
    <n v="80"/>
    <n v="0"/>
    <n v="10"/>
    <n v="3"/>
    <x v="1"/>
    <n v="8"/>
    <n v="7"/>
    <n v="0"/>
    <n v="7"/>
    <x v="0"/>
    <x v="0"/>
  </r>
  <r>
    <n v="26"/>
    <x v="1"/>
    <s v="Travel_Rarely"/>
    <n v="775"/>
    <x v="0"/>
    <n v="29"/>
    <n v="2"/>
    <s v="Medical"/>
    <n v="1"/>
    <x v="460"/>
    <n v="1"/>
    <s v="Male"/>
    <n v="45"/>
    <n v="3"/>
    <n v="2"/>
    <x v="0"/>
    <x v="2"/>
    <s v="Divorced"/>
    <n v="4306"/>
    <n v="4267"/>
    <n v="5"/>
    <s v="Y"/>
    <x v="1"/>
    <n v="12"/>
    <n v="3"/>
    <n v="1"/>
    <n v="80"/>
    <n v="2"/>
    <n v="8"/>
    <n v="5"/>
    <x v="1"/>
    <n v="0"/>
    <n v="0"/>
    <n v="0"/>
    <n v="0"/>
    <x v="2"/>
    <x v="0"/>
  </r>
  <r>
    <n v="35"/>
    <x v="1"/>
    <s v="Travel_Rarely"/>
    <n v="195"/>
    <x v="0"/>
    <n v="1"/>
    <n v="3"/>
    <s v="Medical"/>
    <n v="1"/>
    <x v="461"/>
    <n v="1"/>
    <s v="Female"/>
    <n v="80"/>
    <n v="3"/>
    <n v="2"/>
    <x v="0"/>
    <x v="2"/>
    <s v="Single"/>
    <n v="4859"/>
    <n v="6698"/>
    <n v="1"/>
    <s v="Y"/>
    <x v="1"/>
    <n v="16"/>
    <n v="3"/>
    <n v="4"/>
    <n v="80"/>
    <n v="0"/>
    <n v="5"/>
    <n v="3"/>
    <x v="1"/>
    <n v="5"/>
    <n v="4"/>
    <n v="0"/>
    <n v="3"/>
    <x v="1"/>
    <x v="0"/>
  </r>
  <r>
    <n v="34"/>
    <x v="1"/>
    <s v="Travel_Rarely"/>
    <n v="258"/>
    <x v="0"/>
    <n v="21"/>
    <n v="4"/>
    <s v="Life Sciences"/>
    <n v="1"/>
    <x v="462"/>
    <n v="4"/>
    <s v="Male"/>
    <n v="74"/>
    <n v="4"/>
    <n v="2"/>
    <x v="0"/>
    <x v="0"/>
    <s v="Single"/>
    <n v="5337"/>
    <n v="19921"/>
    <n v="1"/>
    <s v="Y"/>
    <x v="1"/>
    <n v="12"/>
    <n v="3"/>
    <n v="4"/>
    <n v="80"/>
    <n v="0"/>
    <n v="10"/>
    <n v="3"/>
    <x v="1"/>
    <n v="10"/>
    <n v="7"/>
    <n v="5"/>
    <n v="7"/>
    <x v="1"/>
    <x v="0"/>
  </r>
  <r>
    <n v="26"/>
    <x v="0"/>
    <s v="Travel_Rarely"/>
    <n v="471"/>
    <x v="1"/>
    <n v="24"/>
    <n v="3"/>
    <s v="Technical Degree"/>
    <n v="1"/>
    <x v="463"/>
    <n v="3"/>
    <s v="Male"/>
    <n v="66"/>
    <n v="1"/>
    <n v="1"/>
    <x v="2"/>
    <x v="0"/>
    <s v="Single"/>
    <n v="2340"/>
    <n v="23213"/>
    <n v="1"/>
    <s v="Y"/>
    <x v="0"/>
    <n v="18"/>
    <n v="3"/>
    <n v="2"/>
    <n v="80"/>
    <n v="0"/>
    <n v="1"/>
    <n v="3"/>
    <x v="0"/>
    <n v="1"/>
    <n v="0"/>
    <n v="0"/>
    <n v="0"/>
    <x v="2"/>
    <x v="1"/>
  </r>
  <r>
    <n v="37"/>
    <x v="1"/>
    <s v="Travel_Rarely"/>
    <n v="799"/>
    <x v="1"/>
    <n v="1"/>
    <n v="3"/>
    <s v="Technical Degree"/>
    <n v="1"/>
    <x v="464"/>
    <n v="2"/>
    <s v="Female"/>
    <n v="59"/>
    <n v="3"/>
    <n v="3"/>
    <x v="3"/>
    <x v="0"/>
    <s v="Single"/>
    <n v="7491"/>
    <n v="23848"/>
    <n v="4"/>
    <s v="Y"/>
    <x v="1"/>
    <n v="17"/>
    <n v="3"/>
    <n v="4"/>
    <n v="80"/>
    <n v="0"/>
    <n v="12"/>
    <n v="3"/>
    <x v="3"/>
    <n v="6"/>
    <n v="5"/>
    <n v="1"/>
    <n v="2"/>
    <x v="1"/>
    <x v="2"/>
  </r>
  <r>
    <n v="46"/>
    <x v="1"/>
    <s v="Travel_Frequently"/>
    <n v="1034"/>
    <x v="1"/>
    <n v="18"/>
    <n v="1"/>
    <s v="Medical"/>
    <n v="1"/>
    <x v="465"/>
    <n v="1"/>
    <s v="Female"/>
    <n v="86"/>
    <n v="3"/>
    <n v="3"/>
    <x v="4"/>
    <x v="2"/>
    <s v="Married"/>
    <n v="10527"/>
    <n v="8984"/>
    <n v="5"/>
    <s v="Y"/>
    <x v="1"/>
    <n v="11"/>
    <n v="3"/>
    <n v="4"/>
    <n v="80"/>
    <n v="0"/>
    <n v="28"/>
    <n v="3"/>
    <x v="2"/>
    <n v="2"/>
    <n v="2"/>
    <n v="1"/>
    <n v="2"/>
    <x v="0"/>
    <x v="2"/>
  </r>
  <r>
    <n v="41"/>
    <x v="1"/>
    <s v="Travel_Rarely"/>
    <n v="1276"/>
    <x v="0"/>
    <n v="2"/>
    <n v="5"/>
    <s v="Life Sciences"/>
    <n v="1"/>
    <x v="466"/>
    <n v="2"/>
    <s v="Female"/>
    <n v="91"/>
    <n v="3"/>
    <n v="4"/>
    <x v="5"/>
    <x v="3"/>
    <s v="Married"/>
    <n v="16595"/>
    <n v="5626"/>
    <n v="7"/>
    <s v="Y"/>
    <x v="1"/>
    <n v="16"/>
    <n v="3"/>
    <n v="2"/>
    <n v="80"/>
    <n v="1"/>
    <n v="22"/>
    <n v="2"/>
    <x v="1"/>
    <n v="18"/>
    <n v="16"/>
    <n v="11"/>
    <n v="8"/>
    <x v="0"/>
    <x v="2"/>
  </r>
  <r>
    <n v="37"/>
    <x v="1"/>
    <s v="Non-Travel"/>
    <n v="142"/>
    <x v="0"/>
    <n v="9"/>
    <n v="4"/>
    <s v="Medical"/>
    <n v="1"/>
    <x v="467"/>
    <n v="1"/>
    <s v="Male"/>
    <n v="69"/>
    <n v="3"/>
    <n v="3"/>
    <x v="0"/>
    <x v="1"/>
    <s v="Divorced"/>
    <n v="8834"/>
    <n v="24666"/>
    <n v="1"/>
    <s v="Y"/>
    <x v="1"/>
    <n v="13"/>
    <n v="3"/>
    <n v="4"/>
    <n v="80"/>
    <n v="1"/>
    <n v="9"/>
    <n v="6"/>
    <x v="1"/>
    <n v="9"/>
    <n v="5"/>
    <n v="7"/>
    <n v="7"/>
    <x v="1"/>
    <x v="2"/>
  </r>
  <r>
    <n v="52"/>
    <x v="1"/>
    <s v="Travel_Rarely"/>
    <n v="956"/>
    <x v="1"/>
    <n v="6"/>
    <n v="2"/>
    <s v="Technical Degree"/>
    <n v="1"/>
    <x v="468"/>
    <n v="4"/>
    <s v="Male"/>
    <n v="78"/>
    <n v="3"/>
    <n v="2"/>
    <x v="1"/>
    <x v="3"/>
    <s v="Divorced"/>
    <n v="5577"/>
    <n v="22087"/>
    <n v="3"/>
    <s v="Y"/>
    <x v="0"/>
    <n v="12"/>
    <n v="3"/>
    <n v="2"/>
    <n v="80"/>
    <n v="2"/>
    <n v="18"/>
    <n v="3"/>
    <x v="1"/>
    <n v="10"/>
    <n v="9"/>
    <n v="6"/>
    <n v="9"/>
    <x v="3"/>
    <x v="0"/>
  </r>
  <r>
    <n v="32"/>
    <x v="0"/>
    <s v="Non-Travel"/>
    <n v="1474"/>
    <x v="0"/>
    <n v="11"/>
    <n v="4"/>
    <s v="Other"/>
    <n v="1"/>
    <x v="469"/>
    <n v="4"/>
    <s v="Male"/>
    <n v="60"/>
    <n v="4"/>
    <n v="2"/>
    <x v="0"/>
    <x v="2"/>
    <s v="Married"/>
    <n v="4707"/>
    <n v="23914"/>
    <n v="8"/>
    <s v="Y"/>
    <x v="1"/>
    <n v="12"/>
    <n v="3"/>
    <n v="4"/>
    <n v="80"/>
    <n v="0"/>
    <n v="6"/>
    <n v="2"/>
    <x v="1"/>
    <n v="4"/>
    <n v="2"/>
    <n v="1"/>
    <n v="2"/>
    <x v="1"/>
    <x v="0"/>
  </r>
  <r>
    <n v="24"/>
    <x v="1"/>
    <s v="Travel_Frequently"/>
    <n v="535"/>
    <x v="0"/>
    <n v="24"/>
    <n v="3"/>
    <s v="Medical"/>
    <n v="1"/>
    <x v="470"/>
    <n v="4"/>
    <s v="Male"/>
    <n v="38"/>
    <n v="3"/>
    <n v="1"/>
    <x v="6"/>
    <x v="0"/>
    <s v="Married"/>
    <n v="2400"/>
    <n v="5530"/>
    <n v="0"/>
    <s v="Y"/>
    <x v="1"/>
    <n v="13"/>
    <n v="3"/>
    <n v="3"/>
    <n v="80"/>
    <n v="2"/>
    <n v="3"/>
    <n v="3"/>
    <x v="1"/>
    <n v="2"/>
    <n v="2"/>
    <n v="2"/>
    <n v="1"/>
    <x v="2"/>
    <x v="1"/>
  </r>
  <r>
    <n v="38"/>
    <x v="1"/>
    <s v="Travel_Rarely"/>
    <n v="1495"/>
    <x v="1"/>
    <n v="10"/>
    <n v="3"/>
    <s v="Medical"/>
    <n v="1"/>
    <x v="471"/>
    <n v="3"/>
    <s v="Female"/>
    <n v="76"/>
    <n v="3"/>
    <n v="2"/>
    <x v="4"/>
    <x v="2"/>
    <s v="Married"/>
    <n v="9824"/>
    <n v="22174"/>
    <n v="3"/>
    <s v="Y"/>
    <x v="1"/>
    <n v="19"/>
    <n v="3"/>
    <n v="3"/>
    <n v="80"/>
    <n v="1"/>
    <n v="18"/>
    <n v="4"/>
    <x v="1"/>
    <n v="1"/>
    <n v="0"/>
    <n v="0"/>
    <n v="0"/>
    <x v="1"/>
    <x v="2"/>
  </r>
  <r>
    <n v="37"/>
    <x v="1"/>
    <s v="Travel_Rarely"/>
    <n v="446"/>
    <x v="1"/>
    <n v="1"/>
    <n v="4"/>
    <s v="Life Sciences"/>
    <n v="1"/>
    <x v="472"/>
    <n v="2"/>
    <s v="Female"/>
    <n v="65"/>
    <n v="3"/>
    <n v="2"/>
    <x v="3"/>
    <x v="1"/>
    <s v="Married"/>
    <n v="6447"/>
    <n v="15701"/>
    <n v="6"/>
    <s v="Y"/>
    <x v="1"/>
    <n v="12"/>
    <n v="3"/>
    <n v="2"/>
    <n v="80"/>
    <n v="1"/>
    <n v="8"/>
    <n v="2"/>
    <x v="2"/>
    <n v="6"/>
    <n v="5"/>
    <n v="4"/>
    <n v="3"/>
    <x v="1"/>
    <x v="0"/>
  </r>
  <r>
    <n v="49"/>
    <x v="1"/>
    <s v="Travel_Rarely"/>
    <n v="1245"/>
    <x v="1"/>
    <n v="18"/>
    <n v="4"/>
    <s v="Life Sciences"/>
    <n v="1"/>
    <x v="473"/>
    <n v="4"/>
    <s v="Male"/>
    <n v="58"/>
    <n v="2"/>
    <n v="5"/>
    <x v="7"/>
    <x v="2"/>
    <s v="Divorced"/>
    <n v="19502"/>
    <n v="2125"/>
    <n v="1"/>
    <s v="Y"/>
    <x v="0"/>
    <n v="17"/>
    <n v="3"/>
    <n v="3"/>
    <n v="80"/>
    <n v="1"/>
    <n v="31"/>
    <n v="5"/>
    <x v="1"/>
    <n v="31"/>
    <n v="9"/>
    <n v="0"/>
    <n v="9"/>
    <x v="0"/>
    <x v="2"/>
  </r>
  <r>
    <n v="24"/>
    <x v="1"/>
    <s v="Travel_Rarely"/>
    <n v="691"/>
    <x v="1"/>
    <n v="23"/>
    <n v="3"/>
    <s v="Medical"/>
    <n v="1"/>
    <x v="474"/>
    <n v="2"/>
    <s v="Male"/>
    <n v="89"/>
    <n v="4"/>
    <n v="1"/>
    <x v="1"/>
    <x v="0"/>
    <s v="Married"/>
    <n v="2725"/>
    <n v="21630"/>
    <n v="1"/>
    <s v="Y"/>
    <x v="0"/>
    <n v="11"/>
    <n v="3"/>
    <n v="2"/>
    <n v="80"/>
    <n v="2"/>
    <n v="6"/>
    <n v="3"/>
    <x v="1"/>
    <n v="6"/>
    <n v="5"/>
    <n v="1"/>
    <n v="4"/>
    <x v="2"/>
    <x v="1"/>
  </r>
  <r>
    <n v="26"/>
    <x v="1"/>
    <s v="Travel_Rarely"/>
    <n v="703"/>
    <x v="0"/>
    <n v="28"/>
    <n v="2"/>
    <s v="Marketing"/>
    <n v="1"/>
    <x v="475"/>
    <n v="1"/>
    <s v="Male"/>
    <n v="66"/>
    <n v="3"/>
    <n v="2"/>
    <x v="0"/>
    <x v="1"/>
    <s v="Married"/>
    <n v="6272"/>
    <n v="7428"/>
    <n v="1"/>
    <s v="Y"/>
    <x v="1"/>
    <n v="20"/>
    <n v="4"/>
    <n v="4"/>
    <n v="80"/>
    <n v="2"/>
    <n v="6"/>
    <n v="5"/>
    <x v="3"/>
    <n v="5"/>
    <n v="3"/>
    <n v="1"/>
    <n v="4"/>
    <x v="2"/>
    <x v="0"/>
  </r>
  <r>
    <n v="24"/>
    <x v="1"/>
    <s v="Travel_Rarely"/>
    <n v="823"/>
    <x v="1"/>
    <n v="17"/>
    <n v="2"/>
    <s v="Other"/>
    <n v="1"/>
    <x v="476"/>
    <n v="4"/>
    <s v="Male"/>
    <n v="94"/>
    <n v="2"/>
    <n v="1"/>
    <x v="2"/>
    <x v="1"/>
    <s v="Married"/>
    <n v="2127"/>
    <n v="9100"/>
    <n v="1"/>
    <s v="Y"/>
    <x v="1"/>
    <n v="21"/>
    <n v="4"/>
    <n v="4"/>
    <n v="80"/>
    <n v="1"/>
    <n v="1"/>
    <n v="2"/>
    <x v="1"/>
    <n v="1"/>
    <n v="0"/>
    <n v="0"/>
    <n v="0"/>
    <x v="2"/>
    <x v="1"/>
  </r>
  <r>
    <n v="50"/>
    <x v="1"/>
    <s v="Travel_Frequently"/>
    <n v="1246"/>
    <x v="2"/>
    <n v="3"/>
    <n v="3"/>
    <s v="Medical"/>
    <n v="1"/>
    <x v="477"/>
    <n v="1"/>
    <s v="Male"/>
    <n v="99"/>
    <n v="3"/>
    <n v="5"/>
    <x v="5"/>
    <x v="1"/>
    <s v="Married"/>
    <n v="18200"/>
    <n v="7999"/>
    <n v="1"/>
    <s v="Y"/>
    <x v="1"/>
    <n v="11"/>
    <n v="3"/>
    <n v="3"/>
    <n v="80"/>
    <n v="1"/>
    <n v="32"/>
    <n v="2"/>
    <x v="1"/>
    <n v="32"/>
    <n v="5"/>
    <n v="10"/>
    <n v="7"/>
    <x v="0"/>
    <x v="2"/>
  </r>
  <r>
    <n v="25"/>
    <x v="1"/>
    <s v="Travel_Rarely"/>
    <n v="622"/>
    <x v="0"/>
    <n v="13"/>
    <n v="1"/>
    <s v="Medical"/>
    <n v="1"/>
    <x v="478"/>
    <n v="2"/>
    <s v="Male"/>
    <n v="40"/>
    <n v="3"/>
    <n v="1"/>
    <x v="6"/>
    <x v="2"/>
    <s v="Married"/>
    <n v="2096"/>
    <n v="26376"/>
    <n v="1"/>
    <s v="Y"/>
    <x v="1"/>
    <n v="11"/>
    <n v="3"/>
    <n v="3"/>
    <n v="80"/>
    <n v="0"/>
    <n v="7"/>
    <n v="1"/>
    <x v="1"/>
    <n v="7"/>
    <n v="4"/>
    <n v="0"/>
    <n v="6"/>
    <x v="2"/>
    <x v="1"/>
  </r>
  <r>
    <n v="24"/>
    <x v="0"/>
    <s v="Travel_Frequently"/>
    <n v="1287"/>
    <x v="1"/>
    <n v="7"/>
    <n v="3"/>
    <s v="Life Sciences"/>
    <n v="1"/>
    <x v="479"/>
    <n v="1"/>
    <s v="Female"/>
    <n v="55"/>
    <n v="3"/>
    <n v="1"/>
    <x v="2"/>
    <x v="2"/>
    <s v="Married"/>
    <n v="2886"/>
    <n v="14168"/>
    <n v="1"/>
    <s v="Y"/>
    <x v="0"/>
    <n v="16"/>
    <n v="3"/>
    <n v="4"/>
    <n v="80"/>
    <n v="1"/>
    <n v="6"/>
    <n v="4"/>
    <x v="1"/>
    <n v="6"/>
    <n v="3"/>
    <n v="1"/>
    <n v="2"/>
    <x v="2"/>
    <x v="1"/>
  </r>
  <r>
    <n v="30"/>
    <x v="0"/>
    <s v="Travel_Frequently"/>
    <n v="448"/>
    <x v="0"/>
    <n v="12"/>
    <n v="4"/>
    <s v="Life Sciences"/>
    <n v="1"/>
    <x v="480"/>
    <n v="2"/>
    <s v="Male"/>
    <n v="74"/>
    <n v="2"/>
    <n v="1"/>
    <x v="6"/>
    <x v="3"/>
    <s v="Married"/>
    <n v="2033"/>
    <n v="14470"/>
    <n v="1"/>
    <s v="Y"/>
    <x v="1"/>
    <n v="18"/>
    <n v="3"/>
    <n v="3"/>
    <n v="80"/>
    <n v="1"/>
    <n v="1"/>
    <n v="2"/>
    <x v="3"/>
    <n v="1"/>
    <n v="0"/>
    <n v="0"/>
    <n v="0"/>
    <x v="1"/>
    <x v="1"/>
  </r>
  <r>
    <n v="34"/>
    <x v="1"/>
    <s v="Travel_Rarely"/>
    <n v="254"/>
    <x v="1"/>
    <n v="1"/>
    <n v="2"/>
    <s v="Life Sciences"/>
    <n v="1"/>
    <x v="481"/>
    <n v="2"/>
    <s v="Male"/>
    <n v="83"/>
    <n v="2"/>
    <n v="1"/>
    <x v="1"/>
    <x v="0"/>
    <s v="Married"/>
    <n v="3622"/>
    <n v="22794"/>
    <n v="1"/>
    <s v="Y"/>
    <x v="0"/>
    <n v="13"/>
    <n v="3"/>
    <n v="4"/>
    <n v="80"/>
    <n v="1"/>
    <n v="6"/>
    <n v="3"/>
    <x v="1"/>
    <n v="6"/>
    <n v="5"/>
    <n v="1"/>
    <n v="3"/>
    <x v="1"/>
    <x v="1"/>
  </r>
  <r>
    <n v="31"/>
    <x v="0"/>
    <s v="Travel_Rarely"/>
    <n v="1365"/>
    <x v="0"/>
    <n v="13"/>
    <n v="4"/>
    <s v="Medical"/>
    <n v="1"/>
    <x v="482"/>
    <n v="2"/>
    <s v="Male"/>
    <n v="46"/>
    <n v="3"/>
    <n v="2"/>
    <x v="0"/>
    <x v="3"/>
    <s v="Divorced"/>
    <n v="4233"/>
    <n v="11512"/>
    <n v="2"/>
    <s v="Y"/>
    <x v="1"/>
    <n v="17"/>
    <n v="3"/>
    <n v="3"/>
    <n v="80"/>
    <n v="0"/>
    <n v="9"/>
    <n v="2"/>
    <x v="0"/>
    <n v="3"/>
    <n v="1"/>
    <n v="1"/>
    <n v="2"/>
    <x v="1"/>
    <x v="0"/>
  </r>
  <r>
    <n v="35"/>
    <x v="1"/>
    <s v="Travel_Rarely"/>
    <n v="538"/>
    <x v="1"/>
    <n v="25"/>
    <n v="2"/>
    <s v="Other"/>
    <n v="1"/>
    <x v="483"/>
    <n v="1"/>
    <s v="Male"/>
    <n v="54"/>
    <n v="2"/>
    <n v="2"/>
    <x v="2"/>
    <x v="0"/>
    <s v="Single"/>
    <n v="3681"/>
    <n v="14004"/>
    <n v="4"/>
    <s v="Y"/>
    <x v="1"/>
    <n v="14"/>
    <n v="3"/>
    <n v="4"/>
    <n v="80"/>
    <n v="0"/>
    <n v="9"/>
    <n v="3"/>
    <x v="1"/>
    <n v="3"/>
    <n v="2"/>
    <n v="0"/>
    <n v="2"/>
    <x v="1"/>
    <x v="1"/>
  </r>
  <r>
    <n v="31"/>
    <x v="1"/>
    <s v="Travel_Rarely"/>
    <n v="525"/>
    <x v="0"/>
    <n v="6"/>
    <n v="4"/>
    <s v="Medical"/>
    <n v="1"/>
    <x v="484"/>
    <n v="1"/>
    <s v="Male"/>
    <n v="66"/>
    <n v="4"/>
    <n v="2"/>
    <x v="0"/>
    <x v="0"/>
    <s v="Divorced"/>
    <n v="5460"/>
    <n v="6219"/>
    <n v="4"/>
    <s v="Y"/>
    <x v="1"/>
    <n v="22"/>
    <n v="4"/>
    <n v="4"/>
    <n v="80"/>
    <n v="2"/>
    <n v="13"/>
    <n v="4"/>
    <x v="3"/>
    <n v="7"/>
    <n v="7"/>
    <n v="5"/>
    <n v="7"/>
    <x v="1"/>
    <x v="0"/>
  </r>
  <r>
    <n v="27"/>
    <x v="1"/>
    <s v="Travel_Rarely"/>
    <n v="798"/>
    <x v="1"/>
    <n v="6"/>
    <n v="4"/>
    <s v="Medical"/>
    <n v="1"/>
    <x v="485"/>
    <n v="1"/>
    <s v="Female"/>
    <n v="66"/>
    <n v="2"/>
    <n v="1"/>
    <x v="1"/>
    <x v="2"/>
    <s v="Divorced"/>
    <n v="2187"/>
    <n v="5013"/>
    <n v="0"/>
    <s v="Y"/>
    <x v="1"/>
    <n v="12"/>
    <n v="3"/>
    <n v="3"/>
    <n v="80"/>
    <n v="2"/>
    <n v="6"/>
    <n v="5"/>
    <x v="2"/>
    <n v="5"/>
    <n v="3"/>
    <n v="0"/>
    <n v="3"/>
    <x v="2"/>
    <x v="1"/>
  </r>
  <r>
    <n v="37"/>
    <x v="1"/>
    <s v="Travel_Rarely"/>
    <n v="558"/>
    <x v="0"/>
    <n v="2"/>
    <n v="3"/>
    <s v="Marketing"/>
    <n v="1"/>
    <x v="486"/>
    <n v="4"/>
    <s v="Male"/>
    <n v="75"/>
    <n v="3"/>
    <n v="2"/>
    <x v="0"/>
    <x v="2"/>
    <s v="Married"/>
    <n v="9602"/>
    <n v="3010"/>
    <n v="4"/>
    <s v="Y"/>
    <x v="0"/>
    <n v="11"/>
    <n v="3"/>
    <n v="3"/>
    <n v="80"/>
    <n v="1"/>
    <n v="17"/>
    <n v="3"/>
    <x v="2"/>
    <n v="3"/>
    <n v="0"/>
    <n v="1"/>
    <n v="0"/>
    <x v="1"/>
    <x v="2"/>
  </r>
  <r>
    <n v="20"/>
    <x v="1"/>
    <s v="Travel_Rarely"/>
    <n v="959"/>
    <x v="1"/>
    <n v="1"/>
    <n v="3"/>
    <s v="Life Sciences"/>
    <n v="1"/>
    <x v="487"/>
    <n v="4"/>
    <s v="Female"/>
    <n v="83"/>
    <n v="2"/>
    <n v="1"/>
    <x v="1"/>
    <x v="1"/>
    <s v="Single"/>
    <n v="2836"/>
    <n v="11757"/>
    <n v="1"/>
    <s v="Y"/>
    <x v="1"/>
    <n v="13"/>
    <n v="3"/>
    <n v="4"/>
    <n v="80"/>
    <n v="0"/>
    <n v="1"/>
    <n v="0"/>
    <x v="3"/>
    <n v="1"/>
    <n v="0"/>
    <n v="0"/>
    <n v="0"/>
    <x v="2"/>
    <x v="1"/>
  </r>
  <r>
    <n v="42"/>
    <x v="1"/>
    <s v="Travel_Rarely"/>
    <n v="622"/>
    <x v="1"/>
    <n v="2"/>
    <n v="4"/>
    <s v="Life Sciences"/>
    <n v="1"/>
    <x v="488"/>
    <n v="3"/>
    <s v="Female"/>
    <n v="81"/>
    <n v="3"/>
    <n v="2"/>
    <x v="4"/>
    <x v="0"/>
    <s v="Married"/>
    <n v="4089"/>
    <n v="5718"/>
    <n v="1"/>
    <s v="Y"/>
    <x v="1"/>
    <n v="13"/>
    <n v="3"/>
    <n v="2"/>
    <n v="80"/>
    <n v="2"/>
    <n v="10"/>
    <n v="4"/>
    <x v="1"/>
    <n v="10"/>
    <n v="2"/>
    <n v="2"/>
    <n v="2"/>
    <x v="0"/>
    <x v="0"/>
  </r>
  <r>
    <n v="43"/>
    <x v="1"/>
    <s v="Travel_Rarely"/>
    <n v="782"/>
    <x v="1"/>
    <n v="6"/>
    <n v="4"/>
    <s v="Other"/>
    <n v="1"/>
    <x v="489"/>
    <n v="2"/>
    <s v="Male"/>
    <n v="50"/>
    <n v="2"/>
    <n v="4"/>
    <x v="7"/>
    <x v="0"/>
    <s v="Divorced"/>
    <n v="16627"/>
    <n v="2671"/>
    <n v="4"/>
    <s v="Y"/>
    <x v="0"/>
    <n v="14"/>
    <n v="3"/>
    <n v="3"/>
    <n v="80"/>
    <n v="1"/>
    <n v="21"/>
    <n v="3"/>
    <x v="2"/>
    <n v="1"/>
    <n v="0"/>
    <n v="0"/>
    <n v="0"/>
    <x v="0"/>
    <x v="2"/>
  </r>
  <r>
    <n v="38"/>
    <x v="1"/>
    <s v="Travel_Rarely"/>
    <n v="362"/>
    <x v="1"/>
    <n v="1"/>
    <n v="1"/>
    <s v="Life Sciences"/>
    <n v="1"/>
    <x v="490"/>
    <n v="3"/>
    <s v="Female"/>
    <n v="43"/>
    <n v="3"/>
    <n v="1"/>
    <x v="1"/>
    <x v="3"/>
    <s v="Single"/>
    <n v="2619"/>
    <n v="14561"/>
    <n v="3"/>
    <s v="Y"/>
    <x v="1"/>
    <n v="17"/>
    <n v="3"/>
    <n v="4"/>
    <n v="80"/>
    <n v="0"/>
    <n v="8"/>
    <n v="3"/>
    <x v="2"/>
    <n v="0"/>
    <n v="0"/>
    <n v="0"/>
    <n v="0"/>
    <x v="1"/>
    <x v="1"/>
  </r>
  <r>
    <n v="43"/>
    <x v="1"/>
    <s v="Travel_Frequently"/>
    <n v="1001"/>
    <x v="1"/>
    <n v="9"/>
    <n v="5"/>
    <s v="Medical"/>
    <n v="1"/>
    <x v="491"/>
    <n v="4"/>
    <s v="Male"/>
    <n v="72"/>
    <n v="3"/>
    <n v="2"/>
    <x v="2"/>
    <x v="2"/>
    <s v="Divorced"/>
    <n v="5679"/>
    <n v="19627"/>
    <n v="3"/>
    <s v="Y"/>
    <x v="0"/>
    <n v="13"/>
    <n v="3"/>
    <n v="2"/>
    <n v="80"/>
    <n v="1"/>
    <n v="10"/>
    <n v="3"/>
    <x v="1"/>
    <n v="8"/>
    <n v="7"/>
    <n v="4"/>
    <n v="7"/>
    <x v="0"/>
    <x v="0"/>
  </r>
  <r>
    <n v="48"/>
    <x v="1"/>
    <s v="Travel_Rarely"/>
    <n v="1236"/>
    <x v="1"/>
    <n v="1"/>
    <n v="4"/>
    <s v="Life Sciences"/>
    <n v="1"/>
    <x v="492"/>
    <n v="4"/>
    <s v="Female"/>
    <n v="40"/>
    <n v="2"/>
    <n v="4"/>
    <x v="5"/>
    <x v="3"/>
    <s v="Married"/>
    <n v="15402"/>
    <n v="17997"/>
    <n v="7"/>
    <s v="Y"/>
    <x v="1"/>
    <n v="11"/>
    <n v="3"/>
    <n v="1"/>
    <n v="80"/>
    <n v="1"/>
    <n v="21"/>
    <n v="3"/>
    <x v="0"/>
    <n v="3"/>
    <n v="2"/>
    <n v="0"/>
    <n v="2"/>
    <x v="0"/>
    <x v="2"/>
  </r>
  <r>
    <n v="44"/>
    <x v="1"/>
    <s v="Travel_Rarely"/>
    <n v="1112"/>
    <x v="2"/>
    <n v="1"/>
    <n v="4"/>
    <s v="Life Sciences"/>
    <n v="1"/>
    <x v="493"/>
    <n v="1"/>
    <s v="Female"/>
    <n v="50"/>
    <n v="2"/>
    <n v="2"/>
    <x v="8"/>
    <x v="2"/>
    <s v="Single"/>
    <n v="5985"/>
    <n v="26894"/>
    <n v="4"/>
    <s v="Y"/>
    <x v="1"/>
    <n v="11"/>
    <n v="3"/>
    <n v="2"/>
    <n v="80"/>
    <n v="0"/>
    <n v="10"/>
    <n v="1"/>
    <x v="3"/>
    <n v="2"/>
    <n v="2"/>
    <n v="0"/>
    <n v="2"/>
    <x v="0"/>
    <x v="0"/>
  </r>
  <r>
    <n v="34"/>
    <x v="1"/>
    <s v="Travel_Rarely"/>
    <n v="204"/>
    <x v="0"/>
    <n v="14"/>
    <n v="3"/>
    <s v="Technical Degree"/>
    <n v="1"/>
    <x v="494"/>
    <n v="3"/>
    <s v="Female"/>
    <n v="31"/>
    <n v="3"/>
    <n v="1"/>
    <x v="6"/>
    <x v="2"/>
    <s v="Divorced"/>
    <n v="2579"/>
    <n v="2912"/>
    <n v="1"/>
    <s v="Y"/>
    <x v="0"/>
    <n v="18"/>
    <n v="3"/>
    <n v="4"/>
    <n v="80"/>
    <n v="2"/>
    <n v="8"/>
    <n v="3"/>
    <x v="1"/>
    <n v="8"/>
    <n v="2"/>
    <n v="0"/>
    <n v="6"/>
    <x v="1"/>
    <x v="1"/>
  </r>
  <r>
    <n v="27"/>
    <x v="0"/>
    <s v="Travel_Rarely"/>
    <n v="1420"/>
    <x v="0"/>
    <n v="2"/>
    <n v="1"/>
    <s v="Marketing"/>
    <n v="1"/>
    <x v="495"/>
    <n v="3"/>
    <s v="Male"/>
    <n v="85"/>
    <n v="3"/>
    <n v="1"/>
    <x v="6"/>
    <x v="3"/>
    <s v="Divorced"/>
    <n v="3041"/>
    <n v="16346"/>
    <n v="0"/>
    <s v="Y"/>
    <x v="1"/>
    <n v="11"/>
    <n v="3"/>
    <n v="2"/>
    <n v="80"/>
    <n v="1"/>
    <n v="5"/>
    <n v="3"/>
    <x v="1"/>
    <n v="4"/>
    <n v="3"/>
    <n v="0"/>
    <n v="2"/>
    <x v="2"/>
    <x v="1"/>
  </r>
  <r>
    <n v="21"/>
    <x v="1"/>
    <s v="Travel_Rarely"/>
    <n v="1343"/>
    <x v="0"/>
    <n v="22"/>
    <n v="1"/>
    <s v="Technical Degree"/>
    <n v="1"/>
    <x v="496"/>
    <n v="3"/>
    <s v="Male"/>
    <n v="49"/>
    <n v="3"/>
    <n v="1"/>
    <x v="6"/>
    <x v="2"/>
    <s v="Single"/>
    <n v="3447"/>
    <n v="24444"/>
    <n v="1"/>
    <s v="Y"/>
    <x v="1"/>
    <n v="11"/>
    <n v="3"/>
    <n v="3"/>
    <n v="80"/>
    <n v="0"/>
    <n v="3"/>
    <n v="2"/>
    <x v="1"/>
    <n v="3"/>
    <n v="2"/>
    <n v="1"/>
    <n v="2"/>
    <x v="2"/>
    <x v="1"/>
  </r>
  <r>
    <n v="44"/>
    <x v="1"/>
    <s v="Travel_Rarely"/>
    <n v="1315"/>
    <x v="1"/>
    <n v="3"/>
    <n v="4"/>
    <s v="Other"/>
    <n v="1"/>
    <x v="497"/>
    <n v="4"/>
    <s v="Male"/>
    <n v="35"/>
    <n v="3"/>
    <n v="5"/>
    <x v="5"/>
    <x v="0"/>
    <s v="Married"/>
    <n v="19513"/>
    <n v="9358"/>
    <n v="4"/>
    <s v="Y"/>
    <x v="0"/>
    <n v="12"/>
    <n v="3"/>
    <n v="1"/>
    <n v="80"/>
    <n v="1"/>
    <n v="26"/>
    <n v="2"/>
    <x v="3"/>
    <n v="2"/>
    <n v="2"/>
    <n v="0"/>
    <n v="1"/>
    <x v="0"/>
    <x v="2"/>
  </r>
  <r>
    <n v="22"/>
    <x v="1"/>
    <s v="Travel_Rarely"/>
    <n v="604"/>
    <x v="1"/>
    <n v="6"/>
    <n v="1"/>
    <s v="Medical"/>
    <n v="1"/>
    <x v="498"/>
    <n v="1"/>
    <s v="Male"/>
    <n v="69"/>
    <n v="3"/>
    <n v="1"/>
    <x v="1"/>
    <x v="2"/>
    <s v="Married"/>
    <n v="2773"/>
    <n v="12145"/>
    <n v="0"/>
    <s v="Y"/>
    <x v="1"/>
    <n v="20"/>
    <n v="4"/>
    <n v="4"/>
    <n v="80"/>
    <n v="0"/>
    <n v="3"/>
    <n v="3"/>
    <x v="1"/>
    <n v="2"/>
    <n v="2"/>
    <n v="2"/>
    <n v="2"/>
    <x v="2"/>
    <x v="1"/>
  </r>
  <r>
    <n v="33"/>
    <x v="1"/>
    <s v="Travel_Rarely"/>
    <n v="1216"/>
    <x v="0"/>
    <n v="8"/>
    <n v="4"/>
    <s v="Marketing"/>
    <n v="1"/>
    <x v="499"/>
    <n v="3"/>
    <s v="Male"/>
    <n v="39"/>
    <n v="3"/>
    <n v="2"/>
    <x v="0"/>
    <x v="2"/>
    <s v="Divorced"/>
    <n v="7104"/>
    <n v="20431"/>
    <n v="0"/>
    <s v="Y"/>
    <x v="1"/>
    <n v="12"/>
    <n v="3"/>
    <n v="4"/>
    <n v="80"/>
    <n v="0"/>
    <n v="6"/>
    <n v="3"/>
    <x v="1"/>
    <n v="5"/>
    <n v="0"/>
    <n v="1"/>
    <n v="2"/>
    <x v="1"/>
    <x v="2"/>
  </r>
  <r>
    <n v="32"/>
    <x v="1"/>
    <s v="Travel_Rarely"/>
    <n v="646"/>
    <x v="1"/>
    <n v="9"/>
    <n v="4"/>
    <s v="Life Sciences"/>
    <n v="1"/>
    <x v="500"/>
    <n v="1"/>
    <s v="Female"/>
    <n v="92"/>
    <n v="3"/>
    <n v="2"/>
    <x v="1"/>
    <x v="0"/>
    <s v="Married"/>
    <n v="6322"/>
    <n v="18089"/>
    <n v="1"/>
    <s v="Y"/>
    <x v="0"/>
    <n v="12"/>
    <n v="3"/>
    <n v="4"/>
    <n v="80"/>
    <n v="1"/>
    <n v="6"/>
    <n v="2"/>
    <x v="2"/>
    <n v="6"/>
    <n v="4"/>
    <n v="0"/>
    <n v="5"/>
    <x v="1"/>
    <x v="0"/>
  </r>
  <r>
    <n v="30"/>
    <x v="1"/>
    <s v="Travel_Frequently"/>
    <n v="160"/>
    <x v="1"/>
    <n v="3"/>
    <n v="3"/>
    <s v="Medical"/>
    <n v="1"/>
    <x v="501"/>
    <n v="3"/>
    <s v="Female"/>
    <n v="71"/>
    <n v="3"/>
    <n v="1"/>
    <x v="1"/>
    <x v="2"/>
    <s v="Divorced"/>
    <n v="2083"/>
    <n v="22653"/>
    <n v="1"/>
    <s v="Y"/>
    <x v="1"/>
    <n v="20"/>
    <n v="4"/>
    <n v="3"/>
    <n v="80"/>
    <n v="1"/>
    <n v="1"/>
    <n v="2"/>
    <x v="1"/>
    <n v="1"/>
    <n v="0"/>
    <n v="0"/>
    <n v="0"/>
    <x v="1"/>
    <x v="1"/>
  </r>
  <r>
    <n v="53"/>
    <x v="1"/>
    <s v="Travel_Rarely"/>
    <n v="238"/>
    <x v="0"/>
    <n v="1"/>
    <n v="1"/>
    <s v="Medical"/>
    <n v="1"/>
    <x v="502"/>
    <n v="4"/>
    <s v="Female"/>
    <n v="34"/>
    <n v="3"/>
    <n v="2"/>
    <x v="0"/>
    <x v="3"/>
    <s v="Single"/>
    <n v="8381"/>
    <n v="7507"/>
    <n v="7"/>
    <s v="Y"/>
    <x v="1"/>
    <n v="20"/>
    <n v="4"/>
    <n v="4"/>
    <n v="80"/>
    <n v="0"/>
    <n v="18"/>
    <n v="2"/>
    <x v="3"/>
    <n v="14"/>
    <n v="7"/>
    <n v="8"/>
    <n v="10"/>
    <x v="3"/>
    <x v="2"/>
  </r>
  <r>
    <n v="34"/>
    <x v="1"/>
    <s v="Travel_Rarely"/>
    <n v="1397"/>
    <x v="1"/>
    <n v="1"/>
    <n v="5"/>
    <s v="Life Sciences"/>
    <n v="1"/>
    <x v="503"/>
    <n v="2"/>
    <s v="Male"/>
    <n v="42"/>
    <n v="3"/>
    <n v="1"/>
    <x v="1"/>
    <x v="0"/>
    <s v="Married"/>
    <n v="2691"/>
    <n v="7660"/>
    <n v="1"/>
    <s v="Y"/>
    <x v="1"/>
    <n v="12"/>
    <n v="3"/>
    <n v="4"/>
    <n v="80"/>
    <n v="1"/>
    <n v="10"/>
    <n v="4"/>
    <x v="2"/>
    <n v="10"/>
    <n v="9"/>
    <n v="8"/>
    <n v="8"/>
    <x v="1"/>
    <x v="1"/>
  </r>
  <r>
    <n v="45"/>
    <x v="0"/>
    <s v="Travel_Frequently"/>
    <n v="306"/>
    <x v="0"/>
    <n v="26"/>
    <n v="4"/>
    <s v="Life Sciences"/>
    <n v="1"/>
    <x v="504"/>
    <n v="1"/>
    <s v="Female"/>
    <n v="100"/>
    <n v="3"/>
    <n v="2"/>
    <x v="0"/>
    <x v="3"/>
    <s v="Married"/>
    <n v="4286"/>
    <n v="5630"/>
    <n v="2"/>
    <s v="Y"/>
    <x v="1"/>
    <n v="14"/>
    <n v="3"/>
    <n v="4"/>
    <n v="80"/>
    <n v="2"/>
    <n v="5"/>
    <n v="4"/>
    <x v="1"/>
    <n v="1"/>
    <n v="1"/>
    <n v="0"/>
    <n v="0"/>
    <x v="0"/>
    <x v="0"/>
  </r>
  <r>
    <n v="26"/>
    <x v="1"/>
    <s v="Travel_Rarely"/>
    <n v="991"/>
    <x v="1"/>
    <n v="6"/>
    <n v="3"/>
    <s v="Life Sciences"/>
    <n v="1"/>
    <x v="505"/>
    <n v="3"/>
    <s v="Female"/>
    <n v="71"/>
    <n v="3"/>
    <n v="1"/>
    <x v="2"/>
    <x v="0"/>
    <s v="Married"/>
    <n v="2659"/>
    <n v="17759"/>
    <n v="1"/>
    <s v="Y"/>
    <x v="0"/>
    <n v="13"/>
    <n v="3"/>
    <n v="3"/>
    <n v="80"/>
    <n v="1"/>
    <n v="3"/>
    <n v="2"/>
    <x v="1"/>
    <n v="3"/>
    <n v="2"/>
    <n v="0"/>
    <n v="2"/>
    <x v="2"/>
    <x v="1"/>
  </r>
  <r>
    <n v="37"/>
    <x v="1"/>
    <s v="Travel_Rarely"/>
    <n v="482"/>
    <x v="1"/>
    <n v="3"/>
    <n v="3"/>
    <s v="Other"/>
    <n v="1"/>
    <x v="506"/>
    <n v="3"/>
    <s v="Male"/>
    <n v="36"/>
    <n v="3"/>
    <n v="3"/>
    <x v="3"/>
    <x v="2"/>
    <s v="Married"/>
    <n v="9434"/>
    <n v="9606"/>
    <n v="1"/>
    <s v="Y"/>
    <x v="1"/>
    <n v="15"/>
    <n v="3"/>
    <n v="3"/>
    <n v="80"/>
    <n v="1"/>
    <n v="10"/>
    <n v="2"/>
    <x v="1"/>
    <n v="10"/>
    <n v="7"/>
    <n v="7"/>
    <n v="8"/>
    <x v="1"/>
    <x v="2"/>
  </r>
  <r>
    <n v="29"/>
    <x v="1"/>
    <s v="Travel_Rarely"/>
    <n v="1176"/>
    <x v="0"/>
    <n v="3"/>
    <n v="2"/>
    <s v="Medical"/>
    <n v="1"/>
    <x v="507"/>
    <n v="2"/>
    <s v="Female"/>
    <n v="62"/>
    <n v="3"/>
    <n v="2"/>
    <x v="0"/>
    <x v="2"/>
    <s v="Married"/>
    <n v="5561"/>
    <n v="3487"/>
    <n v="1"/>
    <s v="Y"/>
    <x v="1"/>
    <n v="14"/>
    <n v="3"/>
    <n v="1"/>
    <n v="80"/>
    <n v="1"/>
    <n v="6"/>
    <n v="5"/>
    <x v="2"/>
    <n v="6"/>
    <n v="0"/>
    <n v="1"/>
    <n v="2"/>
    <x v="2"/>
    <x v="0"/>
  </r>
  <r>
    <n v="35"/>
    <x v="1"/>
    <s v="Travel_Rarely"/>
    <n v="1017"/>
    <x v="1"/>
    <n v="6"/>
    <n v="4"/>
    <s v="Life Sciences"/>
    <n v="1"/>
    <x v="508"/>
    <n v="2"/>
    <s v="Male"/>
    <n v="82"/>
    <n v="1"/>
    <n v="2"/>
    <x v="1"/>
    <x v="0"/>
    <s v="Single"/>
    <n v="6646"/>
    <n v="19368"/>
    <n v="1"/>
    <s v="Y"/>
    <x v="1"/>
    <n v="13"/>
    <n v="3"/>
    <n v="2"/>
    <n v="80"/>
    <n v="0"/>
    <n v="17"/>
    <n v="3"/>
    <x v="1"/>
    <n v="17"/>
    <n v="11"/>
    <n v="11"/>
    <n v="8"/>
    <x v="1"/>
    <x v="0"/>
  </r>
  <r>
    <n v="33"/>
    <x v="1"/>
    <s v="Travel_Frequently"/>
    <n v="1296"/>
    <x v="1"/>
    <n v="6"/>
    <n v="3"/>
    <s v="Life Sciences"/>
    <n v="1"/>
    <x v="509"/>
    <n v="3"/>
    <s v="Male"/>
    <n v="30"/>
    <n v="3"/>
    <n v="2"/>
    <x v="4"/>
    <x v="0"/>
    <s v="Divorced"/>
    <n v="7725"/>
    <n v="5335"/>
    <n v="3"/>
    <s v="Y"/>
    <x v="1"/>
    <n v="23"/>
    <n v="4"/>
    <n v="3"/>
    <n v="80"/>
    <n v="1"/>
    <n v="15"/>
    <n v="2"/>
    <x v="0"/>
    <n v="13"/>
    <n v="11"/>
    <n v="4"/>
    <n v="7"/>
    <x v="1"/>
    <x v="2"/>
  </r>
  <r>
    <n v="54"/>
    <x v="1"/>
    <s v="Travel_Rarely"/>
    <n v="397"/>
    <x v="2"/>
    <n v="19"/>
    <n v="4"/>
    <s v="Medical"/>
    <n v="1"/>
    <x v="510"/>
    <n v="3"/>
    <s v="Male"/>
    <n v="88"/>
    <n v="3"/>
    <n v="3"/>
    <x v="8"/>
    <x v="1"/>
    <s v="Married"/>
    <n v="10725"/>
    <n v="6729"/>
    <n v="2"/>
    <s v="Y"/>
    <x v="1"/>
    <n v="15"/>
    <n v="3"/>
    <n v="3"/>
    <n v="80"/>
    <n v="1"/>
    <n v="16"/>
    <n v="1"/>
    <x v="3"/>
    <n v="9"/>
    <n v="7"/>
    <n v="7"/>
    <n v="1"/>
    <x v="3"/>
    <x v="2"/>
  </r>
  <r>
    <n v="36"/>
    <x v="1"/>
    <s v="Travel_Rarely"/>
    <n v="913"/>
    <x v="1"/>
    <n v="9"/>
    <n v="2"/>
    <s v="Medical"/>
    <n v="1"/>
    <x v="511"/>
    <n v="2"/>
    <s v="Male"/>
    <n v="48"/>
    <n v="2"/>
    <n v="2"/>
    <x v="3"/>
    <x v="1"/>
    <s v="Divorced"/>
    <n v="8847"/>
    <n v="13934"/>
    <n v="2"/>
    <s v="Y"/>
    <x v="0"/>
    <n v="11"/>
    <n v="3"/>
    <n v="3"/>
    <n v="80"/>
    <n v="1"/>
    <n v="13"/>
    <n v="2"/>
    <x v="1"/>
    <n v="3"/>
    <n v="2"/>
    <n v="0"/>
    <n v="2"/>
    <x v="1"/>
    <x v="2"/>
  </r>
  <r>
    <n v="27"/>
    <x v="1"/>
    <s v="Travel_Rarely"/>
    <n v="1115"/>
    <x v="1"/>
    <n v="3"/>
    <n v="4"/>
    <s v="Medical"/>
    <n v="1"/>
    <x v="512"/>
    <n v="1"/>
    <s v="Male"/>
    <n v="54"/>
    <n v="2"/>
    <n v="1"/>
    <x v="1"/>
    <x v="0"/>
    <s v="Single"/>
    <n v="2045"/>
    <n v="15174"/>
    <n v="0"/>
    <s v="Y"/>
    <x v="1"/>
    <n v="13"/>
    <n v="3"/>
    <n v="4"/>
    <n v="80"/>
    <n v="0"/>
    <n v="5"/>
    <n v="0"/>
    <x v="1"/>
    <n v="4"/>
    <n v="2"/>
    <n v="1"/>
    <n v="1"/>
    <x v="2"/>
    <x v="1"/>
  </r>
  <r>
    <n v="20"/>
    <x v="0"/>
    <s v="Travel_Rarely"/>
    <n v="1362"/>
    <x v="1"/>
    <n v="10"/>
    <n v="1"/>
    <s v="Medical"/>
    <n v="1"/>
    <x v="513"/>
    <n v="4"/>
    <s v="Male"/>
    <n v="32"/>
    <n v="3"/>
    <n v="1"/>
    <x v="1"/>
    <x v="2"/>
    <s v="Single"/>
    <n v="1009"/>
    <n v="26999"/>
    <n v="1"/>
    <s v="Y"/>
    <x v="0"/>
    <n v="11"/>
    <n v="3"/>
    <n v="4"/>
    <n v="80"/>
    <n v="0"/>
    <n v="1"/>
    <n v="5"/>
    <x v="1"/>
    <n v="1"/>
    <n v="0"/>
    <n v="1"/>
    <n v="1"/>
    <x v="2"/>
    <x v="1"/>
  </r>
  <r>
    <n v="33"/>
    <x v="0"/>
    <s v="Travel_Frequently"/>
    <n v="1076"/>
    <x v="1"/>
    <n v="3"/>
    <n v="3"/>
    <s v="Life Sciences"/>
    <n v="1"/>
    <x v="514"/>
    <n v="1"/>
    <s v="Male"/>
    <n v="70"/>
    <n v="3"/>
    <n v="1"/>
    <x v="1"/>
    <x v="3"/>
    <s v="Single"/>
    <n v="3348"/>
    <n v="3164"/>
    <n v="1"/>
    <s v="Y"/>
    <x v="0"/>
    <n v="11"/>
    <n v="3"/>
    <n v="1"/>
    <n v="80"/>
    <n v="0"/>
    <n v="10"/>
    <n v="3"/>
    <x v="1"/>
    <n v="10"/>
    <n v="8"/>
    <n v="9"/>
    <n v="7"/>
    <x v="1"/>
    <x v="1"/>
  </r>
  <r>
    <n v="35"/>
    <x v="1"/>
    <s v="Non-Travel"/>
    <n v="727"/>
    <x v="1"/>
    <n v="3"/>
    <n v="3"/>
    <s v="Life Sciences"/>
    <n v="1"/>
    <x v="515"/>
    <n v="3"/>
    <s v="Male"/>
    <n v="41"/>
    <n v="2"/>
    <n v="1"/>
    <x v="2"/>
    <x v="2"/>
    <s v="Married"/>
    <n v="1281"/>
    <n v="16900"/>
    <n v="1"/>
    <s v="Y"/>
    <x v="1"/>
    <n v="18"/>
    <n v="3"/>
    <n v="3"/>
    <n v="80"/>
    <n v="2"/>
    <n v="1"/>
    <n v="3"/>
    <x v="1"/>
    <n v="1"/>
    <n v="0"/>
    <n v="0"/>
    <n v="0"/>
    <x v="1"/>
    <x v="1"/>
  </r>
  <r>
    <n v="23"/>
    <x v="1"/>
    <s v="Travel_Rarely"/>
    <n v="885"/>
    <x v="1"/>
    <n v="4"/>
    <n v="3"/>
    <s v="Medical"/>
    <n v="1"/>
    <x v="516"/>
    <n v="1"/>
    <s v="Male"/>
    <n v="58"/>
    <n v="4"/>
    <n v="1"/>
    <x v="1"/>
    <x v="3"/>
    <s v="Married"/>
    <n v="2819"/>
    <n v="8544"/>
    <n v="2"/>
    <s v="Y"/>
    <x v="1"/>
    <n v="16"/>
    <n v="3"/>
    <n v="1"/>
    <n v="80"/>
    <n v="1"/>
    <n v="5"/>
    <n v="3"/>
    <x v="3"/>
    <n v="3"/>
    <n v="2"/>
    <n v="0"/>
    <n v="2"/>
    <x v="2"/>
    <x v="1"/>
  </r>
  <r>
    <n v="25"/>
    <x v="1"/>
    <s v="Travel_Rarely"/>
    <n v="810"/>
    <x v="0"/>
    <n v="8"/>
    <n v="3"/>
    <s v="Life Sciences"/>
    <n v="1"/>
    <x v="517"/>
    <n v="4"/>
    <s v="Male"/>
    <n v="57"/>
    <n v="4"/>
    <n v="2"/>
    <x v="0"/>
    <x v="1"/>
    <s v="Married"/>
    <n v="4851"/>
    <n v="15678"/>
    <n v="0"/>
    <s v="Y"/>
    <x v="1"/>
    <n v="22"/>
    <n v="4"/>
    <n v="3"/>
    <n v="80"/>
    <n v="1"/>
    <n v="4"/>
    <n v="4"/>
    <x v="1"/>
    <n v="3"/>
    <n v="2"/>
    <n v="1"/>
    <n v="2"/>
    <x v="2"/>
    <x v="0"/>
  </r>
  <r>
    <n v="38"/>
    <x v="1"/>
    <s v="Travel_Rarely"/>
    <n v="243"/>
    <x v="0"/>
    <n v="7"/>
    <n v="4"/>
    <s v="Marketing"/>
    <n v="1"/>
    <x v="518"/>
    <n v="4"/>
    <s v="Female"/>
    <n v="46"/>
    <n v="2"/>
    <n v="2"/>
    <x v="0"/>
    <x v="0"/>
    <s v="Single"/>
    <n v="4028"/>
    <n v="7791"/>
    <n v="0"/>
    <s v="Y"/>
    <x v="1"/>
    <n v="20"/>
    <n v="4"/>
    <n v="1"/>
    <n v="80"/>
    <n v="0"/>
    <n v="8"/>
    <n v="2"/>
    <x v="1"/>
    <n v="7"/>
    <n v="7"/>
    <n v="0"/>
    <n v="5"/>
    <x v="1"/>
    <x v="0"/>
  </r>
  <r>
    <n v="29"/>
    <x v="1"/>
    <s v="Travel_Frequently"/>
    <n v="806"/>
    <x v="1"/>
    <n v="1"/>
    <n v="4"/>
    <s v="Life Sciences"/>
    <n v="1"/>
    <x v="519"/>
    <n v="2"/>
    <s v="Male"/>
    <n v="76"/>
    <n v="1"/>
    <n v="1"/>
    <x v="1"/>
    <x v="0"/>
    <s v="Divorced"/>
    <n v="2720"/>
    <n v="18959"/>
    <n v="1"/>
    <s v="Y"/>
    <x v="1"/>
    <n v="18"/>
    <n v="3"/>
    <n v="4"/>
    <n v="80"/>
    <n v="1"/>
    <n v="10"/>
    <n v="5"/>
    <x v="1"/>
    <n v="10"/>
    <n v="7"/>
    <n v="2"/>
    <n v="8"/>
    <x v="2"/>
    <x v="1"/>
  </r>
  <r>
    <n v="48"/>
    <x v="1"/>
    <s v="Travel_Rarely"/>
    <n v="817"/>
    <x v="0"/>
    <n v="2"/>
    <n v="1"/>
    <s v="Marketing"/>
    <n v="1"/>
    <x v="520"/>
    <n v="2"/>
    <s v="Male"/>
    <n v="56"/>
    <n v="4"/>
    <n v="2"/>
    <x v="0"/>
    <x v="1"/>
    <s v="Married"/>
    <n v="8120"/>
    <n v="18597"/>
    <n v="3"/>
    <s v="Y"/>
    <x v="1"/>
    <n v="12"/>
    <n v="3"/>
    <n v="4"/>
    <n v="80"/>
    <n v="0"/>
    <n v="12"/>
    <n v="3"/>
    <x v="1"/>
    <n v="2"/>
    <n v="2"/>
    <n v="2"/>
    <n v="2"/>
    <x v="0"/>
    <x v="2"/>
  </r>
  <r>
    <n v="27"/>
    <x v="1"/>
    <s v="Travel_Frequently"/>
    <n v="1410"/>
    <x v="0"/>
    <n v="3"/>
    <n v="1"/>
    <s v="Medical"/>
    <n v="1"/>
    <x v="521"/>
    <n v="4"/>
    <s v="Female"/>
    <n v="71"/>
    <n v="4"/>
    <n v="2"/>
    <x v="0"/>
    <x v="0"/>
    <s v="Divorced"/>
    <n v="4647"/>
    <n v="16673"/>
    <n v="1"/>
    <s v="Y"/>
    <x v="0"/>
    <n v="20"/>
    <n v="4"/>
    <n v="2"/>
    <n v="80"/>
    <n v="2"/>
    <n v="6"/>
    <n v="3"/>
    <x v="1"/>
    <n v="6"/>
    <n v="5"/>
    <n v="0"/>
    <n v="4"/>
    <x v="2"/>
    <x v="0"/>
  </r>
  <r>
    <n v="37"/>
    <x v="1"/>
    <s v="Travel_Rarely"/>
    <n v="1225"/>
    <x v="1"/>
    <n v="10"/>
    <n v="2"/>
    <s v="Life Sciences"/>
    <n v="1"/>
    <x v="522"/>
    <n v="4"/>
    <s v="Male"/>
    <n v="80"/>
    <n v="4"/>
    <n v="1"/>
    <x v="1"/>
    <x v="0"/>
    <s v="Single"/>
    <n v="4680"/>
    <n v="15232"/>
    <n v="3"/>
    <s v="Y"/>
    <x v="1"/>
    <n v="17"/>
    <n v="3"/>
    <n v="1"/>
    <n v="80"/>
    <n v="0"/>
    <n v="4"/>
    <n v="2"/>
    <x v="1"/>
    <n v="1"/>
    <n v="0"/>
    <n v="0"/>
    <n v="0"/>
    <x v="1"/>
    <x v="0"/>
  </r>
  <r>
    <n v="50"/>
    <x v="1"/>
    <s v="Travel_Rarely"/>
    <n v="1207"/>
    <x v="1"/>
    <n v="28"/>
    <n v="1"/>
    <s v="Medical"/>
    <n v="1"/>
    <x v="523"/>
    <n v="4"/>
    <s v="Male"/>
    <n v="74"/>
    <n v="4"/>
    <n v="1"/>
    <x v="2"/>
    <x v="2"/>
    <s v="Married"/>
    <n v="3221"/>
    <n v="3297"/>
    <n v="1"/>
    <s v="Y"/>
    <x v="0"/>
    <n v="11"/>
    <n v="3"/>
    <n v="3"/>
    <n v="80"/>
    <n v="3"/>
    <n v="20"/>
    <n v="3"/>
    <x v="1"/>
    <n v="20"/>
    <n v="8"/>
    <n v="3"/>
    <n v="8"/>
    <x v="0"/>
    <x v="1"/>
  </r>
  <r>
    <n v="34"/>
    <x v="1"/>
    <s v="Travel_Rarely"/>
    <n v="1442"/>
    <x v="1"/>
    <n v="9"/>
    <n v="3"/>
    <s v="Medical"/>
    <n v="1"/>
    <x v="524"/>
    <n v="4"/>
    <s v="Female"/>
    <n v="46"/>
    <n v="2"/>
    <n v="3"/>
    <x v="4"/>
    <x v="1"/>
    <s v="Single"/>
    <n v="8621"/>
    <n v="17654"/>
    <n v="1"/>
    <s v="Y"/>
    <x v="1"/>
    <n v="14"/>
    <n v="3"/>
    <n v="2"/>
    <n v="80"/>
    <n v="0"/>
    <n v="9"/>
    <n v="3"/>
    <x v="3"/>
    <n v="8"/>
    <n v="7"/>
    <n v="7"/>
    <n v="7"/>
    <x v="1"/>
    <x v="2"/>
  </r>
  <r>
    <n v="24"/>
    <x v="0"/>
    <s v="Travel_Rarely"/>
    <n v="693"/>
    <x v="0"/>
    <n v="3"/>
    <n v="2"/>
    <s v="Life Sciences"/>
    <n v="1"/>
    <x v="525"/>
    <n v="1"/>
    <s v="Female"/>
    <n v="65"/>
    <n v="3"/>
    <n v="2"/>
    <x v="0"/>
    <x v="2"/>
    <s v="Single"/>
    <n v="4577"/>
    <n v="24785"/>
    <n v="9"/>
    <s v="Y"/>
    <x v="1"/>
    <n v="14"/>
    <n v="3"/>
    <n v="1"/>
    <n v="80"/>
    <n v="0"/>
    <n v="4"/>
    <n v="3"/>
    <x v="1"/>
    <n v="2"/>
    <n v="2"/>
    <n v="2"/>
    <n v="0"/>
    <x v="2"/>
    <x v="0"/>
  </r>
  <r>
    <n v="39"/>
    <x v="1"/>
    <s v="Travel_Rarely"/>
    <n v="408"/>
    <x v="1"/>
    <n v="2"/>
    <n v="4"/>
    <s v="Technical Degree"/>
    <n v="1"/>
    <x v="526"/>
    <n v="4"/>
    <s v="Female"/>
    <n v="80"/>
    <n v="2"/>
    <n v="2"/>
    <x v="4"/>
    <x v="2"/>
    <s v="Single"/>
    <n v="4553"/>
    <n v="20978"/>
    <n v="1"/>
    <s v="Y"/>
    <x v="1"/>
    <n v="11"/>
    <n v="3"/>
    <n v="1"/>
    <n v="80"/>
    <n v="0"/>
    <n v="20"/>
    <n v="4"/>
    <x v="1"/>
    <n v="20"/>
    <n v="7"/>
    <n v="11"/>
    <n v="10"/>
    <x v="1"/>
    <x v="0"/>
  </r>
  <r>
    <n v="32"/>
    <x v="1"/>
    <s v="Travel_Rarely"/>
    <n v="929"/>
    <x v="0"/>
    <n v="10"/>
    <n v="3"/>
    <s v="Marketing"/>
    <n v="1"/>
    <x v="527"/>
    <n v="4"/>
    <s v="Male"/>
    <n v="55"/>
    <n v="3"/>
    <n v="2"/>
    <x v="0"/>
    <x v="0"/>
    <s v="Single"/>
    <n v="5396"/>
    <n v="21703"/>
    <n v="1"/>
    <s v="Y"/>
    <x v="1"/>
    <n v="12"/>
    <n v="3"/>
    <n v="4"/>
    <n v="80"/>
    <n v="0"/>
    <n v="10"/>
    <n v="2"/>
    <x v="2"/>
    <n v="10"/>
    <n v="7"/>
    <n v="0"/>
    <n v="8"/>
    <x v="1"/>
    <x v="0"/>
  </r>
  <r>
    <n v="50"/>
    <x v="0"/>
    <s v="Travel_Frequently"/>
    <n v="562"/>
    <x v="0"/>
    <n v="8"/>
    <n v="2"/>
    <s v="Technical Degree"/>
    <n v="1"/>
    <x v="528"/>
    <n v="2"/>
    <s v="Male"/>
    <n v="50"/>
    <n v="3"/>
    <n v="2"/>
    <x v="0"/>
    <x v="2"/>
    <s v="Married"/>
    <n v="6796"/>
    <n v="23452"/>
    <n v="3"/>
    <s v="Y"/>
    <x v="0"/>
    <n v="14"/>
    <n v="3"/>
    <n v="1"/>
    <n v="80"/>
    <n v="1"/>
    <n v="18"/>
    <n v="4"/>
    <x v="1"/>
    <n v="4"/>
    <n v="3"/>
    <n v="1"/>
    <n v="3"/>
    <x v="0"/>
    <x v="0"/>
  </r>
  <r>
    <n v="38"/>
    <x v="1"/>
    <s v="Travel_Rarely"/>
    <n v="827"/>
    <x v="1"/>
    <n v="1"/>
    <n v="4"/>
    <s v="Life Sciences"/>
    <n v="1"/>
    <x v="529"/>
    <n v="2"/>
    <s v="Female"/>
    <n v="33"/>
    <n v="4"/>
    <n v="2"/>
    <x v="4"/>
    <x v="0"/>
    <s v="Single"/>
    <n v="7625"/>
    <n v="19383"/>
    <n v="0"/>
    <s v="Y"/>
    <x v="1"/>
    <n v="13"/>
    <n v="3"/>
    <n v="3"/>
    <n v="80"/>
    <n v="0"/>
    <n v="10"/>
    <n v="4"/>
    <x v="2"/>
    <n v="9"/>
    <n v="7"/>
    <n v="1"/>
    <n v="8"/>
    <x v="1"/>
    <x v="2"/>
  </r>
  <r>
    <n v="27"/>
    <x v="1"/>
    <s v="Travel_Rarely"/>
    <n v="608"/>
    <x v="1"/>
    <n v="1"/>
    <n v="2"/>
    <s v="Life Sciences"/>
    <n v="1"/>
    <x v="530"/>
    <n v="3"/>
    <s v="Female"/>
    <n v="68"/>
    <n v="3"/>
    <n v="3"/>
    <x v="3"/>
    <x v="3"/>
    <s v="Married"/>
    <n v="7412"/>
    <n v="6009"/>
    <n v="1"/>
    <s v="Y"/>
    <x v="1"/>
    <n v="11"/>
    <n v="3"/>
    <n v="4"/>
    <n v="80"/>
    <n v="0"/>
    <n v="9"/>
    <n v="3"/>
    <x v="1"/>
    <n v="9"/>
    <n v="7"/>
    <n v="0"/>
    <n v="7"/>
    <x v="2"/>
    <x v="2"/>
  </r>
  <r>
    <n v="32"/>
    <x v="1"/>
    <s v="Travel_Rarely"/>
    <n v="1018"/>
    <x v="1"/>
    <n v="3"/>
    <n v="2"/>
    <s v="Life Sciences"/>
    <n v="1"/>
    <x v="531"/>
    <n v="3"/>
    <s v="Female"/>
    <n v="39"/>
    <n v="3"/>
    <n v="3"/>
    <x v="7"/>
    <x v="0"/>
    <s v="Single"/>
    <n v="11159"/>
    <n v="19373"/>
    <n v="3"/>
    <s v="Y"/>
    <x v="1"/>
    <n v="15"/>
    <n v="3"/>
    <n v="4"/>
    <n v="80"/>
    <n v="0"/>
    <n v="10"/>
    <n v="6"/>
    <x v="1"/>
    <n v="7"/>
    <n v="7"/>
    <n v="7"/>
    <n v="7"/>
    <x v="1"/>
    <x v="2"/>
  </r>
  <r>
    <n v="47"/>
    <x v="1"/>
    <s v="Travel_Rarely"/>
    <n v="703"/>
    <x v="0"/>
    <n v="14"/>
    <n v="4"/>
    <s v="Marketing"/>
    <n v="1"/>
    <x v="532"/>
    <n v="4"/>
    <s v="Male"/>
    <n v="42"/>
    <n v="3"/>
    <n v="2"/>
    <x v="0"/>
    <x v="3"/>
    <s v="Single"/>
    <n v="4960"/>
    <n v="11825"/>
    <n v="2"/>
    <s v="Y"/>
    <x v="1"/>
    <n v="12"/>
    <n v="3"/>
    <n v="4"/>
    <n v="80"/>
    <n v="0"/>
    <n v="20"/>
    <n v="2"/>
    <x v="1"/>
    <n v="7"/>
    <n v="7"/>
    <n v="1"/>
    <n v="7"/>
    <x v="0"/>
    <x v="0"/>
  </r>
  <r>
    <n v="40"/>
    <x v="1"/>
    <s v="Travel_Frequently"/>
    <n v="580"/>
    <x v="0"/>
    <n v="5"/>
    <n v="4"/>
    <s v="Life Sciences"/>
    <n v="1"/>
    <x v="533"/>
    <n v="4"/>
    <s v="Male"/>
    <n v="48"/>
    <n v="2"/>
    <n v="3"/>
    <x v="0"/>
    <x v="3"/>
    <s v="Married"/>
    <n v="10475"/>
    <n v="23772"/>
    <n v="5"/>
    <s v="Y"/>
    <x v="0"/>
    <n v="21"/>
    <n v="4"/>
    <n v="3"/>
    <n v="80"/>
    <n v="1"/>
    <n v="20"/>
    <n v="2"/>
    <x v="1"/>
    <n v="18"/>
    <n v="13"/>
    <n v="1"/>
    <n v="12"/>
    <x v="1"/>
    <x v="2"/>
  </r>
  <r>
    <n v="53"/>
    <x v="1"/>
    <s v="Travel_Rarely"/>
    <n v="970"/>
    <x v="1"/>
    <n v="7"/>
    <n v="3"/>
    <s v="Life Sciences"/>
    <n v="1"/>
    <x v="534"/>
    <n v="3"/>
    <s v="Male"/>
    <n v="59"/>
    <n v="4"/>
    <n v="4"/>
    <x v="7"/>
    <x v="2"/>
    <s v="Married"/>
    <n v="14814"/>
    <n v="13514"/>
    <n v="3"/>
    <s v="Y"/>
    <x v="1"/>
    <n v="19"/>
    <n v="3"/>
    <n v="3"/>
    <n v="80"/>
    <n v="0"/>
    <n v="32"/>
    <n v="3"/>
    <x v="1"/>
    <n v="5"/>
    <n v="1"/>
    <n v="1"/>
    <n v="3"/>
    <x v="3"/>
    <x v="2"/>
  </r>
  <r>
    <n v="41"/>
    <x v="1"/>
    <s v="Travel_Rarely"/>
    <n v="427"/>
    <x v="2"/>
    <n v="10"/>
    <n v="4"/>
    <s v="Human Resources"/>
    <n v="1"/>
    <x v="535"/>
    <n v="2"/>
    <s v="Male"/>
    <n v="73"/>
    <n v="2"/>
    <n v="5"/>
    <x v="5"/>
    <x v="0"/>
    <s v="Divorced"/>
    <n v="19141"/>
    <n v="8861"/>
    <n v="3"/>
    <s v="Y"/>
    <x v="1"/>
    <n v="15"/>
    <n v="3"/>
    <n v="2"/>
    <n v="80"/>
    <n v="3"/>
    <n v="23"/>
    <n v="2"/>
    <x v="2"/>
    <n v="21"/>
    <n v="6"/>
    <n v="12"/>
    <n v="6"/>
    <x v="0"/>
    <x v="2"/>
  </r>
  <r>
    <n v="60"/>
    <x v="1"/>
    <s v="Travel_Rarely"/>
    <n v="1179"/>
    <x v="0"/>
    <n v="16"/>
    <n v="4"/>
    <s v="Marketing"/>
    <n v="1"/>
    <x v="536"/>
    <n v="1"/>
    <s v="Male"/>
    <n v="84"/>
    <n v="3"/>
    <n v="2"/>
    <x v="0"/>
    <x v="3"/>
    <s v="Single"/>
    <n v="5405"/>
    <n v="11924"/>
    <n v="8"/>
    <s v="Y"/>
    <x v="1"/>
    <n v="14"/>
    <n v="3"/>
    <n v="4"/>
    <n v="80"/>
    <n v="0"/>
    <n v="10"/>
    <n v="1"/>
    <x v="1"/>
    <n v="2"/>
    <n v="2"/>
    <n v="2"/>
    <n v="2"/>
    <x v="3"/>
    <x v="0"/>
  </r>
  <r>
    <n v="27"/>
    <x v="1"/>
    <s v="Travel_Frequently"/>
    <n v="294"/>
    <x v="1"/>
    <n v="10"/>
    <n v="2"/>
    <s v="Life Sciences"/>
    <n v="1"/>
    <x v="537"/>
    <n v="4"/>
    <s v="Male"/>
    <n v="32"/>
    <n v="3"/>
    <n v="3"/>
    <x v="3"/>
    <x v="3"/>
    <s v="Divorced"/>
    <n v="8793"/>
    <n v="4809"/>
    <n v="1"/>
    <s v="Y"/>
    <x v="1"/>
    <n v="21"/>
    <n v="4"/>
    <n v="3"/>
    <n v="80"/>
    <n v="2"/>
    <n v="9"/>
    <n v="4"/>
    <x v="2"/>
    <n v="9"/>
    <n v="7"/>
    <n v="1"/>
    <n v="7"/>
    <x v="2"/>
    <x v="2"/>
  </r>
  <r>
    <n v="41"/>
    <x v="1"/>
    <s v="Travel_Rarely"/>
    <n v="314"/>
    <x v="2"/>
    <n v="1"/>
    <n v="3"/>
    <s v="Human Resources"/>
    <n v="1"/>
    <x v="538"/>
    <n v="4"/>
    <s v="Male"/>
    <n v="59"/>
    <n v="2"/>
    <n v="5"/>
    <x v="5"/>
    <x v="2"/>
    <s v="Married"/>
    <n v="19189"/>
    <n v="19562"/>
    <n v="1"/>
    <s v="Y"/>
    <x v="1"/>
    <n v="12"/>
    <n v="3"/>
    <n v="2"/>
    <n v="80"/>
    <n v="1"/>
    <n v="22"/>
    <n v="3"/>
    <x v="1"/>
    <n v="22"/>
    <n v="7"/>
    <n v="2"/>
    <n v="10"/>
    <x v="0"/>
    <x v="2"/>
  </r>
  <r>
    <n v="50"/>
    <x v="1"/>
    <s v="Travel_Rarely"/>
    <n v="316"/>
    <x v="0"/>
    <n v="8"/>
    <n v="4"/>
    <s v="Marketing"/>
    <n v="1"/>
    <x v="539"/>
    <n v="4"/>
    <s v="Male"/>
    <n v="54"/>
    <n v="3"/>
    <n v="1"/>
    <x v="6"/>
    <x v="1"/>
    <s v="Married"/>
    <n v="3875"/>
    <n v="9983"/>
    <n v="7"/>
    <s v="Y"/>
    <x v="1"/>
    <n v="15"/>
    <n v="3"/>
    <n v="4"/>
    <n v="80"/>
    <n v="1"/>
    <n v="4"/>
    <n v="2"/>
    <x v="1"/>
    <n v="2"/>
    <n v="2"/>
    <n v="2"/>
    <n v="2"/>
    <x v="0"/>
    <x v="1"/>
  </r>
  <r>
    <n v="28"/>
    <x v="0"/>
    <s v="Travel_Rarely"/>
    <n v="654"/>
    <x v="1"/>
    <n v="1"/>
    <n v="2"/>
    <s v="Life Sciences"/>
    <n v="1"/>
    <x v="540"/>
    <n v="1"/>
    <s v="Female"/>
    <n v="67"/>
    <n v="1"/>
    <n v="1"/>
    <x v="1"/>
    <x v="1"/>
    <s v="Single"/>
    <n v="2216"/>
    <n v="3872"/>
    <n v="7"/>
    <s v="Y"/>
    <x v="0"/>
    <n v="13"/>
    <n v="3"/>
    <n v="4"/>
    <n v="80"/>
    <n v="0"/>
    <n v="10"/>
    <n v="4"/>
    <x v="1"/>
    <n v="7"/>
    <n v="7"/>
    <n v="3"/>
    <n v="7"/>
    <x v="2"/>
    <x v="1"/>
  </r>
  <r>
    <n v="36"/>
    <x v="1"/>
    <s v="Non-Travel"/>
    <n v="427"/>
    <x v="1"/>
    <n v="8"/>
    <n v="3"/>
    <s v="Life Sciences"/>
    <n v="1"/>
    <x v="541"/>
    <n v="1"/>
    <s v="Female"/>
    <n v="63"/>
    <n v="4"/>
    <n v="3"/>
    <x v="7"/>
    <x v="3"/>
    <s v="Married"/>
    <n v="11713"/>
    <n v="20335"/>
    <n v="9"/>
    <s v="Y"/>
    <x v="1"/>
    <n v="14"/>
    <n v="3"/>
    <n v="1"/>
    <n v="80"/>
    <n v="1"/>
    <n v="10"/>
    <n v="2"/>
    <x v="1"/>
    <n v="8"/>
    <n v="7"/>
    <n v="0"/>
    <n v="5"/>
    <x v="1"/>
    <x v="2"/>
  </r>
  <r>
    <n v="38"/>
    <x v="1"/>
    <s v="Travel_Rarely"/>
    <n v="168"/>
    <x v="1"/>
    <n v="1"/>
    <n v="3"/>
    <s v="Life Sciences"/>
    <n v="1"/>
    <x v="542"/>
    <n v="3"/>
    <s v="Female"/>
    <n v="81"/>
    <n v="3"/>
    <n v="3"/>
    <x v="3"/>
    <x v="2"/>
    <s v="Single"/>
    <n v="7861"/>
    <n v="15397"/>
    <n v="4"/>
    <s v="Y"/>
    <x v="0"/>
    <n v="14"/>
    <n v="3"/>
    <n v="4"/>
    <n v="80"/>
    <n v="0"/>
    <n v="10"/>
    <n v="4"/>
    <x v="3"/>
    <n v="1"/>
    <n v="0"/>
    <n v="0"/>
    <n v="0"/>
    <x v="1"/>
    <x v="2"/>
  </r>
  <r>
    <n v="44"/>
    <x v="1"/>
    <s v="Non-Travel"/>
    <n v="381"/>
    <x v="1"/>
    <n v="24"/>
    <n v="3"/>
    <s v="Medical"/>
    <n v="1"/>
    <x v="543"/>
    <n v="1"/>
    <s v="Male"/>
    <n v="49"/>
    <n v="1"/>
    <n v="1"/>
    <x v="2"/>
    <x v="2"/>
    <s v="Single"/>
    <n v="3708"/>
    <n v="2104"/>
    <n v="2"/>
    <s v="Y"/>
    <x v="1"/>
    <n v="14"/>
    <n v="3"/>
    <n v="3"/>
    <n v="80"/>
    <n v="0"/>
    <n v="9"/>
    <n v="5"/>
    <x v="1"/>
    <n v="5"/>
    <n v="2"/>
    <n v="1"/>
    <n v="4"/>
    <x v="0"/>
    <x v="1"/>
  </r>
  <r>
    <n v="47"/>
    <x v="1"/>
    <s v="Travel_Frequently"/>
    <n v="217"/>
    <x v="0"/>
    <n v="3"/>
    <n v="3"/>
    <s v="Medical"/>
    <n v="1"/>
    <x v="544"/>
    <n v="4"/>
    <s v="Female"/>
    <n v="49"/>
    <n v="3"/>
    <n v="4"/>
    <x v="0"/>
    <x v="2"/>
    <s v="Divorced"/>
    <n v="13770"/>
    <n v="10225"/>
    <n v="9"/>
    <s v="Y"/>
    <x v="0"/>
    <n v="12"/>
    <n v="3"/>
    <n v="4"/>
    <n v="80"/>
    <n v="2"/>
    <n v="28"/>
    <n v="2"/>
    <x v="2"/>
    <n v="22"/>
    <n v="2"/>
    <n v="11"/>
    <n v="13"/>
    <x v="0"/>
    <x v="2"/>
  </r>
  <r>
    <n v="30"/>
    <x v="1"/>
    <s v="Travel_Rarely"/>
    <n v="501"/>
    <x v="0"/>
    <n v="27"/>
    <n v="5"/>
    <s v="Marketing"/>
    <n v="1"/>
    <x v="545"/>
    <n v="3"/>
    <s v="Male"/>
    <n v="99"/>
    <n v="3"/>
    <n v="2"/>
    <x v="0"/>
    <x v="0"/>
    <s v="Divorced"/>
    <n v="5304"/>
    <n v="25275"/>
    <n v="7"/>
    <s v="Y"/>
    <x v="1"/>
    <n v="23"/>
    <n v="4"/>
    <n v="4"/>
    <n v="80"/>
    <n v="1"/>
    <n v="10"/>
    <n v="2"/>
    <x v="2"/>
    <n v="8"/>
    <n v="7"/>
    <n v="7"/>
    <n v="7"/>
    <x v="1"/>
    <x v="0"/>
  </r>
  <r>
    <n v="29"/>
    <x v="1"/>
    <s v="Travel_Rarely"/>
    <n v="1396"/>
    <x v="0"/>
    <n v="10"/>
    <n v="3"/>
    <s v="Life Sciences"/>
    <n v="1"/>
    <x v="546"/>
    <n v="3"/>
    <s v="Male"/>
    <n v="99"/>
    <n v="3"/>
    <n v="1"/>
    <x v="6"/>
    <x v="2"/>
    <s v="Single"/>
    <n v="2642"/>
    <n v="2755"/>
    <n v="1"/>
    <s v="Y"/>
    <x v="1"/>
    <n v="11"/>
    <n v="3"/>
    <n v="3"/>
    <n v="80"/>
    <n v="0"/>
    <n v="1"/>
    <n v="6"/>
    <x v="1"/>
    <n v="1"/>
    <n v="0"/>
    <n v="0"/>
    <n v="0"/>
    <x v="2"/>
    <x v="1"/>
  </r>
  <r>
    <n v="42"/>
    <x v="0"/>
    <s v="Travel_Frequently"/>
    <n v="933"/>
    <x v="1"/>
    <n v="19"/>
    <n v="3"/>
    <s v="Medical"/>
    <n v="1"/>
    <x v="547"/>
    <n v="3"/>
    <s v="Male"/>
    <n v="57"/>
    <n v="4"/>
    <n v="1"/>
    <x v="1"/>
    <x v="2"/>
    <s v="Divorced"/>
    <n v="2759"/>
    <n v="20366"/>
    <n v="6"/>
    <s v="Y"/>
    <x v="0"/>
    <n v="12"/>
    <n v="3"/>
    <n v="4"/>
    <n v="80"/>
    <n v="0"/>
    <n v="7"/>
    <n v="2"/>
    <x v="1"/>
    <n v="2"/>
    <n v="2"/>
    <n v="2"/>
    <n v="2"/>
    <x v="0"/>
    <x v="1"/>
  </r>
  <r>
    <n v="43"/>
    <x v="1"/>
    <s v="Travel_Frequently"/>
    <n v="775"/>
    <x v="0"/>
    <n v="15"/>
    <n v="3"/>
    <s v="Life Sciences"/>
    <n v="1"/>
    <x v="548"/>
    <n v="4"/>
    <s v="Male"/>
    <n v="47"/>
    <n v="2"/>
    <n v="2"/>
    <x v="0"/>
    <x v="0"/>
    <s v="Married"/>
    <n v="6804"/>
    <n v="23683"/>
    <n v="3"/>
    <s v="Y"/>
    <x v="1"/>
    <n v="18"/>
    <n v="3"/>
    <n v="3"/>
    <n v="80"/>
    <n v="1"/>
    <n v="7"/>
    <n v="5"/>
    <x v="1"/>
    <n v="2"/>
    <n v="2"/>
    <n v="2"/>
    <n v="2"/>
    <x v="0"/>
    <x v="0"/>
  </r>
  <r>
    <n v="34"/>
    <x v="1"/>
    <s v="Travel_Rarely"/>
    <n v="970"/>
    <x v="1"/>
    <n v="8"/>
    <n v="2"/>
    <s v="Medical"/>
    <n v="1"/>
    <x v="549"/>
    <n v="2"/>
    <s v="Female"/>
    <n v="96"/>
    <n v="3"/>
    <n v="2"/>
    <x v="4"/>
    <x v="2"/>
    <s v="Single"/>
    <n v="6142"/>
    <n v="7360"/>
    <n v="3"/>
    <s v="Y"/>
    <x v="1"/>
    <n v="11"/>
    <n v="3"/>
    <n v="4"/>
    <n v="80"/>
    <n v="0"/>
    <n v="10"/>
    <n v="2"/>
    <x v="1"/>
    <n v="5"/>
    <n v="1"/>
    <n v="4"/>
    <n v="3"/>
    <x v="1"/>
    <x v="0"/>
  </r>
  <r>
    <n v="23"/>
    <x v="1"/>
    <s v="Travel_Rarely"/>
    <n v="650"/>
    <x v="1"/>
    <n v="9"/>
    <n v="1"/>
    <s v="Medical"/>
    <n v="1"/>
    <x v="550"/>
    <n v="2"/>
    <s v="Male"/>
    <n v="37"/>
    <n v="3"/>
    <n v="1"/>
    <x v="2"/>
    <x v="3"/>
    <s v="Married"/>
    <n v="2500"/>
    <n v="4344"/>
    <n v="1"/>
    <s v="Y"/>
    <x v="1"/>
    <n v="14"/>
    <n v="3"/>
    <n v="4"/>
    <n v="80"/>
    <n v="1"/>
    <n v="5"/>
    <n v="2"/>
    <x v="3"/>
    <n v="4"/>
    <n v="3"/>
    <n v="0"/>
    <n v="2"/>
    <x v="2"/>
    <x v="1"/>
  </r>
  <r>
    <n v="39"/>
    <x v="1"/>
    <s v="Travel_Rarely"/>
    <n v="141"/>
    <x v="2"/>
    <n v="3"/>
    <n v="3"/>
    <s v="Human Resources"/>
    <n v="1"/>
    <x v="551"/>
    <n v="3"/>
    <s v="Female"/>
    <n v="44"/>
    <n v="4"/>
    <n v="2"/>
    <x v="8"/>
    <x v="1"/>
    <s v="Married"/>
    <n v="6389"/>
    <n v="18767"/>
    <n v="9"/>
    <s v="Y"/>
    <x v="1"/>
    <n v="15"/>
    <n v="3"/>
    <n v="3"/>
    <n v="80"/>
    <n v="1"/>
    <n v="12"/>
    <n v="3"/>
    <x v="0"/>
    <n v="8"/>
    <n v="3"/>
    <n v="3"/>
    <n v="6"/>
    <x v="1"/>
    <x v="0"/>
  </r>
  <r>
    <n v="56"/>
    <x v="1"/>
    <s v="Travel_Rarely"/>
    <n v="832"/>
    <x v="1"/>
    <n v="9"/>
    <n v="3"/>
    <s v="Medical"/>
    <n v="1"/>
    <x v="552"/>
    <n v="3"/>
    <s v="Male"/>
    <n v="81"/>
    <n v="3"/>
    <n v="4"/>
    <x v="4"/>
    <x v="0"/>
    <s v="Married"/>
    <n v="11103"/>
    <n v="20420"/>
    <n v="7"/>
    <s v="Y"/>
    <x v="1"/>
    <n v="11"/>
    <n v="3"/>
    <n v="3"/>
    <n v="80"/>
    <n v="0"/>
    <n v="30"/>
    <n v="1"/>
    <x v="2"/>
    <n v="10"/>
    <n v="7"/>
    <n v="1"/>
    <n v="1"/>
    <x v="3"/>
    <x v="2"/>
  </r>
  <r>
    <n v="40"/>
    <x v="1"/>
    <s v="Travel_Rarely"/>
    <n v="804"/>
    <x v="1"/>
    <n v="2"/>
    <n v="1"/>
    <s v="Medical"/>
    <n v="1"/>
    <x v="553"/>
    <n v="4"/>
    <s v="Female"/>
    <n v="86"/>
    <n v="2"/>
    <n v="1"/>
    <x v="1"/>
    <x v="0"/>
    <s v="Single"/>
    <n v="2342"/>
    <n v="22929"/>
    <n v="0"/>
    <s v="Y"/>
    <x v="0"/>
    <n v="20"/>
    <n v="4"/>
    <n v="4"/>
    <n v="80"/>
    <n v="0"/>
    <n v="5"/>
    <n v="2"/>
    <x v="2"/>
    <n v="4"/>
    <n v="2"/>
    <n v="2"/>
    <n v="3"/>
    <x v="1"/>
    <x v="1"/>
  </r>
  <r>
    <n v="27"/>
    <x v="1"/>
    <s v="Travel_Rarely"/>
    <n v="975"/>
    <x v="1"/>
    <n v="7"/>
    <n v="3"/>
    <s v="Medical"/>
    <n v="1"/>
    <x v="554"/>
    <n v="4"/>
    <s v="Female"/>
    <n v="55"/>
    <n v="2"/>
    <n v="2"/>
    <x v="4"/>
    <x v="3"/>
    <s v="Single"/>
    <n v="6811"/>
    <n v="23398"/>
    <n v="8"/>
    <s v="Y"/>
    <x v="1"/>
    <n v="19"/>
    <n v="3"/>
    <n v="1"/>
    <n v="80"/>
    <n v="0"/>
    <n v="9"/>
    <n v="2"/>
    <x v="0"/>
    <n v="7"/>
    <n v="6"/>
    <n v="0"/>
    <n v="7"/>
    <x v="2"/>
    <x v="0"/>
  </r>
  <r>
    <n v="29"/>
    <x v="1"/>
    <s v="Travel_Rarely"/>
    <n v="1090"/>
    <x v="0"/>
    <n v="10"/>
    <n v="3"/>
    <s v="Marketing"/>
    <n v="1"/>
    <x v="555"/>
    <n v="4"/>
    <s v="Male"/>
    <n v="83"/>
    <n v="3"/>
    <n v="1"/>
    <x v="6"/>
    <x v="1"/>
    <s v="Divorced"/>
    <n v="2297"/>
    <n v="17967"/>
    <n v="1"/>
    <s v="Y"/>
    <x v="1"/>
    <n v="14"/>
    <n v="3"/>
    <n v="4"/>
    <n v="80"/>
    <n v="2"/>
    <n v="2"/>
    <n v="2"/>
    <x v="1"/>
    <n v="2"/>
    <n v="2"/>
    <n v="2"/>
    <n v="2"/>
    <x v="2"/>
    <x v="1"/>
  </r>
  <r>
    <n v="53"/>
    <x v="1"/>
    <s v="Travel_Rarely"/>
    <n v="346"/>
    <x v="1"/>
    <n v="6"/>
    <n v="3"/>
    <s v="Life Sciences"/>
    <n v="1"/>
    <x v="556"/>
    <n v="4"/>
    <s v="Male"/>
    <n v="86"/>
    <n v="3"/>
    <n v="2"/>
    <x v="2"/>
    <x v="0"/>
    <s v="Single"/>
    <n v="2450"/>
    <n v="10919"/>
    <n v="2"/>
    <s v="Y"/>
    <x v="1"/>
    <n v="17"/>
    <n v="3"/>
    <n v="4"/>
    <n v="80"/>
    <n v="0"/>
    <n v="19"/>
    <n v="4"/>
    <x v="1"/>
    <n v="2"/>
    <n v="2"/>
    <n v="2"/>
    <n v="2"/>
    <x v="3"/>
    <x v="1"/>
  </r>
  <r>
    <n v="35"/>
    <x v="1"/>
    <s v="Non-Travel"/>
    <n v="1225"/>
    <x v="1"/>
    <n v="2"/>
    <n v="4"/>
    <s v="Life Sciences"/>
    <n v="1"/>
    <x v="557"/>
    <n v="4"/>
    <s v="Female"/>
    <n v="61"/>
    <n v="3"/>
    <n v="2"/>
    <x v="4"/>
    <x v="3"/>
    <s v="Divorced"/>
    <n v="5093"/>
    <n v="4761"/>
    <n v="2"/>
    <s v="Y"/>
    <x v="1"/>
    <n v="11"/>
    <n v="3"/>
    <n v="1"/>
    <n v="80"/>
    <n v="1"/>
    <n v="16"/>
    <n v="2"/>
    <x v="3"/>
    <n v="1"/>
    <n v="0"/>
    <n v="0"/>
    <n v="0"/>
    <x v="1"/>
    <x v="0"/>
  </r>
  <r>
    <n v="32"/>
    <x v="1"/>
    <s v="Travel_Frequently"/>
    <n v="430"/>
    <x v="1"/>
    <n v="24"/>
    <n v="4"/>
    <s v="Life Sciences"/>
    <n v="1"/>
    <x v="558"/>
    <n v="1"/>
    <s v="Male"/>
    <n v="80"/>
    <n v="3"/>
    <n v="2"/>
    <x v="2"/>
    <x v="0"/>
    <s v="Married"/>
    <n v="5309"/>
    <n v="21146"/>
    <n v="1"/>
    <s v="Y"/>
    <x v="1"/>
    <n v="15"/>
    <n v="3"/>
    <n v="4"/>
    <n v="80"/>
    <n v="2"/>
    <n v="10"/>
    <n v="2"/>
    <x v="1"/>
    <n v="10"/>
    <n v="8"/>
    <n v="4"/>
    <n v="7"/>
    <x v="1"/>
    <x v="0"/>
  </r>
  <r>
    <n v="38"/>
    <x v="1"/>
    <s v="Travel_Rarely"/>
    <n v="268"/>
    <x v="1"/>
    <n v="2"/>
    <n v="5"/>
    <s v="Medical"/>
    <n v="1"/>
    <x v="559"/>
    <n v="4"/>
    <s v="Male"/>
    <n v="92"/>
    <n v="3"/>
    <n v="1"/>
    <x v="1"/>
    <x v="2"/>
    <s v="Married"/>
    <n v="3057"/>
    <n v="20471"/>
    <n v="6"/>
    <s v="Y"/>
    <x v="0"/>
    <n v="13"/>
    <n v="3"/>
    <n v="2"/>
    <n v="80"/>
    <n v="1"/>
    <n v="6"/>
    <n v="0"/>
    <x v="0"/>
    <n v="1"/>
    <n v="0"/>
    <n v="0"/>
    <n v="1"/>
    <x v="1"/>
    <x v="1"/>
  </r>
  <r>
    <n v="34"/>
    <x v="1"/>
    <s v="Travel_Rarely"/>
    <n v="167"/>
    <x v="1"/>
    <n v="8"/>
    <n v="5"/>
    <s v="Life Sciences"/>
    <n v="1"/>
    <x v="560"/>
    <n v="2"/>
    <s v="Female"/>
    <n v="32"/>
    <n v="3"/>
    <n v="2"/>
    <x v="3"/>
    <x v="3"/>
    <s v="Divorced"/>
    <n v="5121"/>
    <n v="4187"/>
    <n v="3"/>
    <s v="Y"/>
    <x v="1"/>
    <n v="14"/>
    <n v="3"/>
    <n v="3"/>
    <n v="80"/>
    <n v="1"/>
    <n v="7"/>
    <n v="3"/>
    <x v="1"/>
    <n v="0"/>
    <n v="0"/>
    <n v="0"/>
    <n v="0"/>
    <x v="1"/>
    <x v="0"/>
  </r>
  <r>
    <n v="52"/>
    <x v="1"/>
    <s v="Travel_Rarely"/>
    <n v="621"/>
    <x v="0"/>
    <n v="3"/>
    <n v="4"/>
    <s v="Marketing"/>
    <n v="1"/>
    <x v="561"/>
    <n v="3"/>
    <s v="Male"/>
    <n v="31"/>
    <n v="2"/>
    <n v="4"/>
    <x v="5"/>
    <x v="3"/>
    <s v="Married"/>
    <n v="16856"/>
    <n v="10084"/>
    <n v="1"/>
    <s v="Y"/>
    <x v="1"/>
    <n v="11"/>
    <n v="3"/>
    <n v="1"/>
    <n v="80"/>
    <n v="0"/>
    <n v="34"/>
    <n v="3"/>
    <x v="3"/>
    <n v="34"/>
    <n v="6"/>
    <n v="1"/>
    <n v="16"/>
    <x v="3"/>
    <x v="2"/>
  </r>
  <r>
    <n v="33"/>
    <x v="0"/>
    <s v="Travel_Rarely"/>
    <n v="527"/>
    <x v="1"/>
    <n v="1"/>
    <n v="4"/>
    <s v="Other"/>
    <n v="1"/>
    <x v="562"/>
    <n v="4"/>
    <s v="Male"/>
    <n v="63"/>
    <n v="3"/>
    <n v="1"/>
    <x v="1"/>
    <x v="0"/>
    <s v="Single"/>
    <n v="2686"/>
    <n v="5207"/>
    <n v="1"/>
    <s v="Y"/>
    <x v="0"/>
    <n v="13"/>
    <n v="3"/>
    <n v="3"/>
    <n v="80"/>
    <n v="0"/>
    <n v="10"/>
    <n v="2"/>
    <x v="2"/>
    <n v="10"/>
    <n v="9"/>
    <n v="7"/>
    <n v="8"/>
    <x v="1"/>
    <x v="1"/>
  </r>
  <r>
    <n v="25"/>
    <x v="1"/>
    <s v="Travel_Rarely"/>
    <n v="883"/>
    <x v="0"/>
    <n v="26"/>
    <n v="1"/>
    <s v="Medical"/>
    <n v="1"/>
    <x v="563"/>
    <n v="3"/>
    <s v="Female"/>
    <n v="32"/>
    <n v="3"/>
    <n v="2"/>
    <x v="0"/>
    <x v="0"/>
    <s v="Single"/>
    <n v="6180"/>
    <n v="22807"/>
    <n v="1"/>
    <s v="Y"/>
    <x v="1"/>
    <n v="23"/>
    <n v="4"/>
    <n v="2"/>
    <n v="80"/>
    <n v="0"/>
    <n v="6"/>
    <n v="5"/>
    <x v="2"/>
    <n v="6"/>
    <n v="5"/>
    <n v="1"/>
    <n v="4"/>
    <x v="2"/>
    <x v="0"/>
  </r>
  <r>
    <n v="45"/>
    <x v="1"/>
    <s v="Travel_Rarely"/>
    <n v="954"/>
    <x v="0"/>
    <n v="2"/>
    <n v="2"/>
    <s v="Technical Degree"/>
    <n v="1"/>
    <x v="564"/>
    <n v="2"/>
    <s v="Male"/>
    <n v="46"/>
    <n v="1"/>
    <n v="2"/>
    <x v="6"/>
    <x v="2"/>
    <s v="Single"/>
    <n v="6632"/>
    <n v="12388"/>
    <n v="0"/>
    <s v="Y"/>
    <x v="1"/>
    <n v="13"/>
    <n v="3"/>
    <n v="1"/>
    <n v="80"/>
    <n v="0"/>
    <n v="9"/>
    <n v="3"/>
    <x v="1"/>
    <n v="8"/>
    <n v="7"/>
    <n v="3"/>
    <n v="1"/>
    <x v="0"/>
    <x v="0"/>
  </r>
  <r>
    <n v="23"/>
    <x v="1"/>
    <s v="Travel_Rarely"/>
    <n v="310"/>
    <x v="1"/>
    <n v="10"/>
    <n v="1"/>
    <s v="Medical"/>
    <n v="1"/>
    <x v="565"/>
    <n v="1"/>
    <s v="Male"/>
    <n v="79"/>
    <n v="4"/>
    <n v="1"/>
    <x v="1"/>
    <x v="2"/>
    <s v="Single"/>
    <n v="3505"/>
    <n v="19630"/>
    <n v="1"/>
    <s v="Y"/>
    <x v="1"/>
    <n v="18"/>
    <n v="3"/>
    <n v="4"/>
    <n v="80"/>
    <n v="0"/>
    <n v="2"/>
    <n v="3"/>
    <x v="1"/>
    <n v="2"/>
    <n v="2"/>
    <n v="0"/>
    <n v="2"/>
    <x v="2"/>
    <x v="1"/>
  </r>
  <r>
    <n v="47"/>
    <x v="0"/>
    <s v="Travel_Frequently"/>
    <n v="719"/>
    <x v="0"/>
    <n v="27"/>
    <n v="2"/>
    <s v="Life Sciences"/>
    <n v="1"/>
    <x v="566"/>
    <n v="2"/>
    <s v="Female"/>
    <n v="77"/>
    <n v="4"/>
    <n v="2"/>
    <x v="0"/>
    <x v="2"/>
    <s v="Single"/>
    <n v="6397"/>
    <n v="10339"/>
    <n v="4"/>
    <s v="Y"/>
    <x v="0"/>
    <n v="12"/>
    <n v="3"/>
    <n v="4"/>
    <n v="80"/>
    <n v="0"/>
    <n v="8"/>
    <n v="2"/>
    <x v="1"/>
    <n v="5"/>
    <n v="4"/>
    <n v="1"/>
    <n v="3"/>
    <x v="0"/>
    <x v="0"/>
  </r>
  <r>
    <n v="34"/>
    <x v="1"/>
    <s v="Travel_Rarely"/>
    <n v="304"/>
    <x v="0"/>
    <n v="2"/>
    <n v="3"/>
    <s v="Other"/>
    <n v="1"/>
    <x v="567"/>
    <n v="4"/>
    <s v="Male"/>
    <n v="60"/>
    <n v="3"/>
    <n v="2"/>
    <x v="0"/>
    <x v="0"/>
    <s v="Single"/>
    <n v="6274"/>
    <n v="18686"/>
    <n v="1"/>
    <s v="Y"/>
    <x v="1"/>
    <n v="22"/>
    <n v="4"/>
    <n v="3"/>
    <n v="80"/>
    <n v="0"/>
    <n v="6"/>
    <n v="5"/>
    <x v="1"/>
    <n v="6"/>
    <n v="5"/>
    <n v="1"/>
    <n v="4"/>
    <x v="1"/>
    <x v="0"/>
  </r>
  <r>
    <n v="55"/>
    <x v="0"/>
    <s v="Travel_Rarely"/>
    <n v="725"/>
    <x v="1"/>
    <n v="2"/>
    <n v="3"/>
    <s v="Medical"/>
    <n v="1"/>
    <x v="568"/>
    <n v="4"/>
    <s v="Male"/>
    <n v="78"/>
    <n v="3"/>
    <n v="5"/>
    <x v="5"/>
    <x v="3"/>
    <s v="Married"/>
    <n v="19859"/>
    <n v="21199"/>
    <n v="5"/>
    <s v="Y"/>
    <x v="0"/>
    <n v="13"/>
    <n v="3"/>
    <n v="4"/>
    <n v="80"/>
    <n v="1"/>
    <n v="24"/>
    <n v="2"/>
    <x v="1"/>
    <n v="5"/>
    <n v="2"/>
    <n v="1"/>
    <n v="4"/>
    <x v="3"/>
    <x v="2"/>
  </r>
  <r>
    <n v="36"/>
    <x v="1"/>
    <s v="Non-Travel"/>
    <n v="1434"/>
    <x v="0"/>
    <n v="8"/>
    <n v="4"/>
    <s v="Life Sciences"/>
    <n v="1"/>
    <x v="569"/>
    <n v="1"/>
    <s v="Male"/>
    <n v="76"/>
    <n v="2"/>
    <n v="3"/>
    <x v="0"/>
    <x v="3"/>
    <s v="Single"/>
    <n v="7587"/>
    <n v="14229"/>
    <n v="1"/>
    <s v="Y"/>
    <x v="1"/>
    <n v="15"/>
    <n v="3"/>
    <n v="2"/>
    <n v="80"/>
    <n v="0"/>
    <n v="10"/>
    <n v="1"/>
    <x v="1"/>
    <n v="10"/>
    <n v="7"/>
    <n v="0"/>
    <n v="9"/>
    <x v="1"/>
    <x v="2"/>
  </r>
  <r>
    <n v="52"/>
    <x v="1"/>
    <s v="Non-Travel"/>
    <n v="715"/>
    <x v="1"/>
    <n v="19"/>
    <n v="4"/>
    <s v="Medical"/>
    <n v="1"/>
    <x v="570"/>
    <n v="4"/>
    <s v="Male"/>
    <n v="41"/>
    <n v="3"/>
    <n v="1"/>
    <x v="1"/>
    <x v="0"/>
    <s v="Married"/>
    <n v="4258"/>
    <n v="26589"/>
    <n v="0"/>
    <s v="Y"/>
    <x v="1"/>
    <n v="18"/>
    <n v="3"/>
    <n v="1"/>
    <n v="80"/>
    <n v="1"/>
    <n v="5"/>
    <n v="3"/>
    <x v="1"/>
    <n v="4"/>
    <n v="3"/>
    <n v="1"/>
    <n v="2"/>
    <x v="3"/>
    <x v="0"/>
  </r>
  <r>
    <n v="26"/>
    <x v="1"/>
    <s v="Travel_Frequently"/>
    <n v="575"/>
    <x v="1"/>
    <n v="1"/>
    <n v="2"/>
    <s v="Life Sciences"/>
    <n v="1"/>
    <x v="571"/>
    <n v="1"/>
    <s v="Female"/>
    <n v="71"/>
    <n v="1"/>
    <n v="1"/>
    <x v="2"/>
    <x v="0"/>
    <s v="Divorced"/>
    <n v="4364"/>
    <n v="5288"/>
    <n v="3"/>
    <s v="Y"/>
    <x v="1"/>
    <n v="14"/>
    <n v="3"/>
    <n v="1"/>
    <n v="80"/>
    <n v="1"/>
    <n v="5"/>
    <n v="2"/>
    <x v="1"/>
    <n v="2"/>
    <n v="2"/>
    <n v="2"/>
    <n v="0"/>
    <x v="2"/>
    <x v="0"/>
  </r>
  <r>
    <n v="29"/>
    <x v="1"/>
    <s v="Travel_Rarely"/>
    <n v="657"/>
    <x v="1"/>
    <n v="27"/>
    <n v="3"/>
    <s v="Medical"/>
    <n v="1"/>
    <x v="572"/>
    <n v="2"/>
    <s v="Female"/>
    <n v="66"/>
    <n v="3"/>
    <n v="2"/>
    <x v="4"/>
    <x v="2"/>
    <s v="Married"/>
    <n v="4335"/>
    <n v="25549"/>
    <n v="4"/>
    <s v="Y"/>
    <x v="1"/>
    <n v="12"/>
    <n v="3"/>
    <n v="1"/>
    <n v="80"/>
    <n v="1"/>
    <n v="11"/>
    <n v="3"/>
    <x v="2"/>
    <n v="8"/>
    <n v="7"/>
    <n v="1"/>
    <n v="1"/>
    <x v="2"/>
    <x v="0"/>
  </r>
  <r>
    <n v="26"/>
    <x v="0"/>
    <s v="Travel_Rarely"/>
    <n v="1146"/>
    <x v="0"/>
    <n v="8"/>
    <n v="3"/>
    <s v="Technical Degree"/>
    <n v="1"/>
    <x v="573"/>
    <n v="4"/>
    <s v="Male"/>
    <n v="38"/>
    <n v="2"/>
    <n v="2"/>
    <x v="0"/>
    <x v="3"/>
    <s v="Single"/>
    <n v="5326"/>
    <n v="3064"/>
    <n v="6"/>
    <s v="Y"/>
    <x v="1"/>
    <n v="17"/>
    <n v="3"/>
    <n v="3"/>
    <n v="80"/>
    <n v="0"/>
    <n v="6"/>
    <n v="2"/>
    <x v="2"/>
    <n v="4"/>
    <n v="3"/>
    <n v="1"/>
    <n v="2"/>
    <x v="2"/>
    <x v="0"/>
  </r>
  <r>
    <n v="34"/>
    <x v="1"/>
    <s v="Travel_Rarely"/>
    <n v="182"/>
    <x v="1"/>
    <n v="1"/>
    <n v="4"/>
    <s v="Life Sciences"/>
    <n v="1"/>
    <x v="574"/>
    <n v="2"/>
    <s v="Female"/>
    <n v="72"/>
    <n v="4"/>
    <n v="1"/>
    <x v="1"/>
    <x v="0"/>
    <s v="Single"/>
    <n v="3280"/>
    <n v="13551"/>
    <n v="2"/>
    <s v="Y"/>
    <x v="1"/>
    <n v="16"/>
    <n v="3"/>
    <n v="3"/>
    <n v="80"/>
    <n v="0"/>
    <n v="10"/>
    <n v="2"/>
    <x v="1"/>
    <n v="4"/>
    <n v="2"/>
    <n v="1"/>
    <n v="3"/>
    <x v="1"/>
    <x v="1"/>
  </r>
  <r>
    <n v="54"/>
    <x v="1"/>
    <s v="Travel_Rarely"/>
    <n v="376"/>
    <x v="1"/>
    <n v="19"/>
    <n v="4"/>
    <s v="Medical"/>
    <n v="1"/>
    <x v="575"/>
    <n v="4"/>
    <s v="Female"/>
    <n v="95"/>
    <n v="3"/>
    <n v="2"/>
    <x v="3"/>
    <x v="3"/>
    <s v="Divorced"/>
    <n v="5485"/>
    <n v="22670"/>
    <n v="9"/>
    <s v="Y"/>
    <x v="0"/>
    <n v="11"/>
    <n v="3"/>
    <n v="2"/>
    <n v="80"/>
    <n v="2"/>
    <n v="9"/>
    <n v="4"/>
    <x v="1"/>
    <n v="5"/>
    <n v="3"/>
    <n v="1"/>
    <n v="4"/>
    <x v="3"/>
    <x v="0"/>
  </r>
  <r>
    <n v="27"/>
    <x v="1"/>
    <s v="Travel_Frequently"/>
    <n v="829"/>
    <x v="0"/>
    <n v="8"/>
    <n v="1"/>
    <s v="Marketing"/>
    <n v="1"/>
    <x v="576"/>
    <n v="3"/>
    <s v="Male"/>
    <n v="84"/>
    <n v="3"/>
    <n v="2"/>
    <x v="0"/>
    <x v="0"/>
    <s v="Married"/>
    <n v="4342"/>
    <n v="24008"/>
    <n v="0"/>
    <s v="Y"/>
    <x v="1"/>
    <n v="19"/>
    <n v="3"/>
    <n v="2"/>
    <n v="80"/>
    <n v="1"/>
    <n v="5"/>
    <n v="3"/>
    <x v="1"/>
    <n v="4"/>
    <n v="2"/>
    <n v="1"/>
    <n v="1"/>
    <x v="2"/>
    <x v="0"/>
  </r>
  <r>
    <n v="37"/>
    <x v="1"/>
    <s v="Travel_Rarely"/>
    <n v="571"/>
    <x v="1"/>
    <n v="10"/>
    <n v="1"/>
    <s v="Life Sciences"/>
    <n v="1"/>
    <x v="577"/>
    <n v="4"/>
    <s v="Female"/>
    <n v="82"/>
    <n v="3"/>
    <n v="1"/>
    <x v="1"/>
    <x v="3"/>
    <s v="Divorced"/>
    <n v="2782"/>
    <n v="19905"/>
    <n v="0"/>
    <s v="Y"/>
    <x v="0"/>
    <n v="13"/>
    <n v="3"/>
    <n v="2"/>
    <n v="80"/>
    <n v="2"/>
    <n v="6"/>
    <n v="3"/>
    <x v="2"/>
    <n v="5"/>
    <n v="3"/>
    <n v="4"/>
    <n v="3"/>
    <x v="1"/>
    <x v="1"/>
  </r>
  <r>
    <n v="38"/>
    <x v="1"/>
    <s v="Travel_Frequently"/>
    <n v="240"/>
    <x v="1"/>
    <n v="2"/>
    <n v="4"/>
    <s v="Life Sciences"/>
    <n v="1"/>
    <x v="578"/>
    <n v="1"/>
    <s v="Female"/>
    <n v="75"/>
    <n v="4"/>
    <n v="2"/>
    <x v="3"/>
    <x v="3"/>
    <s v="Single"/>
    <n v="5980"/>
    <n v="26085"/>
    <n v="6"/>
    <s v="Y"/>
    <x v="0"/>
    <n v="12"/>
    <n v="3"/>
    <n v="4"/>
    <n v="80"/>
    <n v="0"/>
    <n v="17"/>
    <n v="2"/>
    <x v="1"/>
    <n v="15"/>
    <n v="7"/>
    <n v="4"/>
    <n v="12"/>
    <x v="1"/>
    <x v="0"/>
  </r>
  <r>
    <n v="34"/>
    <x v="1"/>
    <s v="Travel_Rarely"/>
    <n v="121"/>
    <x v="1"/>
    <n v="2"/>
    <n v="4"/>
    <s v="Medical"/>
    <n v="1"/>
    <x v="579"/>
    <n v="3"/>
    <s v="Female"/>
    <n v="86"/>
    <n v="2"/>
    <n v="1"/>
    <x v="1"/>
    <x v="3"/>
    <s v="Single"/>
    <n v="4381"/>
    <n v="7530"/>
    <n v="1"/>
    <s v="Y"/>
    <x v="1"/>
    <n v="11"/>
    <n v="3"/>
    <n v="3"/>
    <n v="80"/>
    <n v="0"/>
    <n v="6"/>
    <n v="3"/>
    <x v="1"/>
    <n v="6"/>
    <n v="5"/>
    <n v="1"/>
    <n v="3"/>
    <x v="1"/>
    <x v="0"/>
  </r>
  <r>
    <n v="35"/>
    <x v="1"/>
    <s v="Travel_Rarely"/>
    <n v="384"/>
    <x v="0"/>
    <n v="8"/>
    <n v="4"/>
    <s v="Life Sciences"/>
    <n v="1"/>
    <x v="580"/>
    <n v="1"/>
    <s v="Female"/>
    <n v="72"/>
    <n v="3"/>
    <n v="1"/>
    <x v="6"/>
    <x v="0"/>
    <s v="Married"/>
    <n v="2572"/>
    <n v="20317"/>
    <n v="1"/>
    <s v="Y"/>
    <x v="1"/>
    <n v="16"/>
    <n v="3"/>
    <n v="2"/>
    <n v="80"/>
    <n v="1"/>
    <n v="3"/>
    <n v="1"/>
    <x v="2"/>
    <n v="3"/>
    <n v="2"/>
    <n v="0"/>
    <n v="2"/>
    <x v="1"/>
    <x v="1"/>
  </r>
  <r>
    <n v="30"/>
    <x v="1"/>
    <s v="Travel_Rarely"/>
    <n v="921"/>
    <x v="1"/>
    <n v="1"/>
    <n v="3"/>
    <s v="Life Sciences"/>
    <n v="1"/>
    <x v="581"/>
    <n v="4"/>
    <s v="Male"/>
    <n v="38"/>
    <n v="1"/>
    <n v="1"/>
    <x v="2"/>
    <x v="2"/>
    <s v="Married"/>
    <n v="3833"/>
    <n v="24375"/>
    <n v="3"/>
    <s v="Y"/>
    <x v="1"/>
    <n v="21"/>
    <n v="4"/>
    <n v="3"/>
    <n v="80"/>
    <n v="2"/>
    <n v="7"/>
    <n v="2"/>
    <x v="1"/>
    <n v="2"/>
    <n v="2"/>
    <n v="0"/>
    <n v="2"/>
    <x v="1"/>
    <x v="1"/>
  </r>
  <r>
    <n v="40"/>
    <x v="1"/>
    <s v="Travel_Frequently"/>
    <n v="791"/>
    <x v="1"/>
    <n v="2"/>
    <n v="2"/>
    <s v="Medical"/>
    <n v="1"/>
    <x v="582"/>
    <n v="3"/>
    <s v="Female"/>
    <n v="38"/>
    <n v="4"/>
    <n v="2"/>
    <x v="4"/>
    <x v="1"/>
    <s v="Married"/>
    <n v="4244"/>
    <n v="9931"/>
    <n v="1"/>
    <s v="Y"/>
    <x v="1"/>
    <n v="24"/>
    <n v="4"/>
    <n v="4"/>
    <n v="80"/>
    <n v="1"/>
    <n v="8"/>
    <n v="2"/>
    <x v="1"/>
    <n v="8"/>
    <n v="7"/>
    <n v="3"/>
    <n v="7"/>
    <x v="1"/>
    <x v="0"/>
  </r>
  <r>
    <n v="34"/>
    <x v="1"/>
    <s v="Travel_Rarely"/>
    <n v="1111"/>
    <x v="0"/>
    <n v="8"/>
    <n v="2"/>
    <s v="Life Sciences"/>
    <n v="1"/>
    <x v="583"/>
    <n v="3"/>
    <s v="Female"/>
    <n v="93"/>
    <n v="3"/>
    <n v="2"/>
    <x v="0"/>
    <x v="3"/>
    <s v="Married"/>
    <n v="6500"/>
    <n v="13305"/>
    <n v="5"/>
    <s v="Y"/>
    <x v="1"/>
    <n v="17"/>
    <n v="3"/>
    <n v="2"/>
    <n v="80"/>
    <n v="1"/>
    <n v="6"/>
    <n v="1"/>
    <x v="1"/>
    <n v="3"/>
    <n v="2"/>
    <n v="1"/>
    <n v="2"/>
    <x v="1"/>
    <x v="0"/>
  </r>
  <r>
    <n v="42"/>
    <x v="1"/>
    <s v="Travel_Frequently"/>
    <n v="570"/>
    <x v="1"/>
    <n v="8"/>
    <n v="3"/>
    <s v="Life Sciences"/>
    <n v="1"/>
    <x v="584"/>
    <n v="2"/>
    <s v="Male"/>
    <n v="66"/>
    <n v="3"/>
    <n v="5"/>
    <x v="5"/>
    <x v="0"/>
    <s v="Divorced"/>
    <n v="18430"/>
    <n v="16225"/>
    <n v="1"/>
    <s v="Y"/>
    <x v="1"/>
    <n v="13"/>
    <n v="3"/>
    <n v="2"/>
    <n v="80"/>
    <n v="1"/>
    <n v="24"/>
    <n v="4"/>
    <x v="2"/>
    <n v="24"/>
    <n v="7"/>
    <n v="14"/>
    <n v="9"/>
    <x v="0"/>
    <x v="2"/>
  </r>
  <r>
    <n v="23"/>
    <x v="0"/>
    <s v="Travel_Rarely"/>
    <n v="1243"/>
    <x v="1"/>
    <n v="6"/>
    <n v="3"/>
    <s v="Life Sciences"/>
    <n v="1"/>
    <x v="585"/>
    <n v="3"/>
    <s v="Male"/>
    <n v="63"/>
    <n v="4"/>
    <n v="1"/>
    <x v="2"/>
    <x v="3"/>
    <s v="Married"/>
    <n v="1601"/>
    <n v="3445"/>
    <n v="1"/>
    <s v="Y"/>
    <x v="0"/>
    <n v="21"/>
    <n v="4"/>
    <n v="3"/>
    <n v="80"/>
    <n v="2"/>
    <n v="1"/>
    <n v="2"/>
    <x v="1"/>
    <n v="0"/>
    <n v="0"/>
    <n v="0"/>
    <n v="0"/>
    <x v="2"/>
    <x v="1"/>
  </r>
  <r>
    <n v="24"/>
    <x v="1"/>
    <s v="Non-Travel"/>
    <n v="1092"/>
    <x v="1"/>
    <n v="9"/>
    <n v="3"/>
    <s v="Life Sciences"/>
    <n v="1"/>
    <x v="586"/>
    <n v="3"/>
    <s v="Male"/>
    <n v="60"/>
    <n v="2"/>
    <n v="1"/>
    <x v="2"/>
    <x v="1"/>
    <s v="Divorced"/>
    <n v="2694"/>
    <n v="26551"/>
    <n v="1"/>
    <s v="Y"/>
    <x v="1"/>
    <n v="11"/>
    <n v="3"/>
    <n v="3"/>
    <n v="80"/>
    <n v="3"/>
    <n v="1"/>
    <n v="4"/>
    <x v="1"/>
    <n v="1"/>
    <n v="0"/>
    <n v="0"/>
    <n v="0"/>
    <x v="2"/>
    <x v="1"/>
  </r>
  <r>
    <n v="52"/>
    <x v="1"/>
    <s v="Travel_Rarely"/>
    <n v="1325"/>
    <x v="1"/>
    <n v="11"/>
    <n v="4"/>
    <s v="Life Sciences"/>
    <n v="1"/>
    <x v="587"/>
    <n v="4"/>
    <s v="Female"/>
    <n v="82"/>
    <n v="3"/>
    <n v="2"/>
    <x v="2"/>
    <x v="2"/>
    <s v="Married"/>
    <n v="3149"/>
    <n v="21821"/>
    <n v="8"/>
    <s v="Y"/>
    <x v="1"/>
    <n v="20"/>
    <n v="4"/>
    <n v="2"/>
    <n v="80"/>
    <n v="1"/>
    <n v="9"/>
    <n v="3"/>
    <x v="1"/>
    <n v="5"/>
    <n v="2"/>
    <n v="1"/>
    <n v="4"/>
    <x v="3"/>
    <x v="1"/>
  </r>
  <r>
    <n v="50"/>
    <x v="1"/>
    <s v="Travel_Rarely"/>
    <n v="691"/>
    <x v="1"/>
    <n v="2"/>
    <n v="3"/>
    <s v="Medical"/>
    <n v="1"/>
    <x v="588"/>
    <n v="3"/>
    <s v="Male"/>
    <n v="64"/>
    <n v="3"/>
    <n v="4"/>
    <x v="7"/>
    <x v="2"/>
    <s v="Married"/>
    <n v="17639"/>
    <n v="6881"/>
    <n v="5"/>
    <s v="Y"/>
    <x v="1"/>
    <n v="16"/>
    <n v="3"/>
    <n v="4"/>
    <n v="80"/>
    <n v="0"/>
    <n v="30"/>
    <n v="3"/>
    <x v="1"/>
    <n v="4"/>
    <n v="3"/>
    <n v="0"/>
    <n v="3"/>
    <x v="0"/>
    <x v="2"/>
  </r>
  <r>
    <n v="29"/>
    <x v="0"/>
    <s v="Travel_Rarely"/>
    <n v="805"/>
    <x v="1"/>
    <n v="1"/>
    <n v="2"/>
    <s v="Life Sciences"/>
    <n v="1"/>
    <x v="589"/>
    <n v="2"/>
    <s v="Female"/>
    <n v="36"/>
    <n v="2"/>
    <n v="1"/>
    <x v="2"/>
    <x v="3"/>
    <s v="Married"/>
    <n v="2319"/>
    <n v="6689"/>
    <n v="1"/>
    <s v="Y"/>
    <x v="0"/>
    <n v="11"/>
    <n v="3"/>
    <n v="4"/>
    <n v="80"/>
    <n v="1"/>
    <n v="1"/>
    <n v="1"/>
    <x v="1"/>
    <n v="1"/>
    <n v="0"/>
    <n v="0"/>
    <n v="0"/>
    <x v="2"/>
    <x v="1"/>
  </r>
  <r>
    <n v="33"/>
    <x v="1"/>
    <s v="Travel_Rarely"/>
    <n v="213"/>
    <x v="1"/>
    <n v="7"/>
    <n v="3"/>
    <s v="Medical"/>
    <n v="1"/>
    <x v="590"/>
    <n v="3"/>
    <s v="Male"/>
    <n v="49"/>
    <n v="3"/>
    <n v="3"/>
    <x v="7"/>
    <x v="2"/>
    <s v="Married"/>
    <n v="11691"/>
    <n v="25995"/>
    <n v="0"/>
    <s v="Y"/>
    <x v="1"/>
    <n v="11"/>
    <n v="3"/>
    <n v="4"/>
    <n v="80"/>
    <n v="0"/>
    <n v="14"/>
    <n v="3"/>
    <x v="3"/>
    <n v="13"/>
    <n v="9"/>
    <n v="3"/>
    <n v="7"/>
    <x v="1"/>
    <x v="2"/>
  </r>
  <r>
    <n v="33"/>
    <x v="0"/>
    <s v="Travel_Rarely"/>
    <n v="118"/>
    <x v="0"/>
    <n v="16"/>
    <n v="3"/>
    <s v="Marketing"/>
    <n v="1"/>
    <x v="591"/>
    <n v="1"/>
    <s v="Female"/>
    <n v="69"/>
    <n v="3"/>
    <n v="2"/>
    <x v="0"/>
    <x v="3"/>
    <s v="Single"/>
    <n v="5324"/>
    <n v="26507"/>
    <n v="5"/>
    <s v="Y"/>
    <x v="1"/>
    <n v="15"/>
    <n v="3"/>
    <n v="3"/>
    <n v="80"/>
    <n v="0"/>
    <n v="6"/>
    <n v="3"/>
    <x v="1"/>
    <n v="3"/>
    <n v="2"/>
    <n v="0"/>
    <n v="2"/>
    <x v="1"/>
    <x v="0"/>
  </r>
  <r>
    <n v="47"/>
    <x v="1"/>
    <s v="Travel_Rarely"/>
    <n v="202"/>
    <x v="1"/>
    <n v="2"/>
    <n v="2"/>
    <s v="Other"/>
    <n v="1"/>
    <x v="592"/>
    <n v="3"/>
    <s v="Female"/>
    <n v="33"/>
    <n v="3"/>
    <n v="4"/>
    <x v="5"/>
    <x v="0"/>
    <s v="Married"/>
    <n v="16752"/>
    <n v="12982"/>
    <n v="1"/>
    <s v="Y"/>
    <x v="0"/>
    <n v="11"/>
    <n v="3"/>
    <n v="3"/>
    <n v="80"/>
    <n v="1"/>
    <n v="26"/>
    <n v="3"/>
    <x v="2"/>
    <n v="26"/>
    <n v="14"/>
    <n v="3"/>
    <n v="0"/>
    <x v="0"/>
    <x v="2"/>
  </r>
  <r>
    <n v="36"/>
    <x v="1"/>
    <s v="Travel_Rarely"/>
    <n v="676"/>
    <x v="1"/>
    <n v="1"/>
    <n v="3"/>
    <s v="Other"/>
    <n v="1"/>
    <x v="593"/>
    <n v="3"/>
    <s v="Female"/>
    <n v="35"/>
    <n v="3"/>
    <n v="2"/>
    <x v="3"/>
    <x v="1"/>
    <s v="Married"/>
    <n v="5228"/>
    <n v="23361"/>
    <n v="0"/>
    <s v="Y"/>
    <x v="1"/>
    <n v="15"/>
    <n v="3"/>
    <n v="1"/>
    <n v="80"/>
    <n v="1"/>
    <n v="10"/>
    <n v="2"/>
    <x v="1"/>
    <n v="9"/>
    <n v="7"/>
    <n v="0"/>
    <n v="5"/>
    <x v="1"/>
    <x v="0"/>
  </r>
  <r>
    <n v="29"/>
    <x v="1"/>
    <s v="Travel_Rarely"/>
    <n v="1252"/>
    <x v="1"/>
    <n v="23"/>
    <n v="2"/>
    <s v="Life Sciences"/>
    <n v="1"/>
    <x v="594"/>
    <n v="3"/>
    <s v="Male"/>
    <n v="81"/>
    <n v="4"/>
    <n v="1"/>
    <x v="1"/>
    <x v="2"/>
    <s v="Married"/>
    <n v="2700"/>
    <n v="23779"/>
    <n v="1"/>
    <s v="Y"/>
    <x v="1"/>
    <n v="24"/>
    <n v="4"/>
    <n v="3"/>
    <n v="80"/>
    <n v="1"/>
    <n v="10"/>
    <n v="3"/>
    <x v="1"/>
    <n v="10"/>
    <n v="7"/>
    <n v="0"/>
    <n v="7"/>
    <x v="2"/>
    <x v="1"/>
  </r>
  <r>
    <n v="58"/>
    <x v="0"/>
    <s v="Travel_Rarely"/>
    <n v="286"/>
    <x v="1"/>
    <n v="2"/>
    <n v="4"/>
    <s v="Life Sciences"/>
    <n v="1"/>
    <x v="595"/>
    <n v="4"/>
    <s v="Male"/>
    <n v="31"/>
    <n v="3"/>
    <n v="5"/>
    <x v="7"/>
    <x v="1"/>
    <s v="Single"/>
    <n v="19246"/>
    <n v="25761"/>
    <n v="7"/>
    <s v="Y"/>
    <x v="0"/>
    <n v="12"/>
    <n v="3"/>
    <n v="4"/>
    <n v="80"/>
    <n v="0"/>
    <n v="40"/>
    <n v="2"/>
    <x v="1"/>
    <n v="31"/>
    <n v="15"/>
    <n v="13"/>
    <n v="8"/>
    <x v="3"/>
    <x v="2"/>
  </r>
  <r>
    <n v="35"/>
    <x v="1"/>
    <s v="Travel_Rarely"/>
    <n v="1258"/>
    <x v="1"/>
    <n v="1"/>
    <n v="4"/>
    <s v="Life Sciences"/>
    <n v="1"/>
    <x v="596"/>
    <n v="4"/>
    <s v="Female"/>
    <n v="40"/>
    <n v="4"/>
    <n v="1"/>
    <x v="1"/>
    <x v="2"/>
    <s v="Single"/>
    <n v="2506"/>
    <n v="13301"/>
    <n v="3"/>
    <s v="Y"/>
    <x v="1"/>
    <n v="13"/>
    <n v="3"/>
    <n v="3"/>
    <n v="80"/>
    <n v="0"/>
    <n v="7"/>
    <n v="0"/>
    <x v="1"/>
    <n v="2"/>
    <n v="2"/>
    <n v="2"/>
    <n v="2"/>
    <x v="1"/>
    <x v="1"/>
  </r>
  <r>
    <n v="42"/>
    <x v="1"/>
    <s v="Travel_Rarely"/>
    <n v="932"/>
    <x v="1"/>
    <n v="1"/>
    <n v="2"/>
    <s v="Life Sciences"/>
    <n v="1"/>
    <x v="597"/>
    <n v="4"/>
    <s v="Female"/>
    <n v="43"/>
    <n v="2"/>
    <n v="2"/>
    <x v="3"/>
    <x v="0"/>
    <s v="Married"/>
    <n v="6062"/>
    <n v="4051"/>
    <n v="9"/>
    <s v="Y"/>
    <x v="0"/>
    <n v="13"/>
    <n v="3"/>
    <n v="4"/>
    <n v="80"/>
    <n v="1"/>
    <n v="8"/>
    <n v="4"/>
    <x v="1"/>
    <n v="4"/>
    <n v="3"/>
    <n v="0"/>
    <n v="2"/>
    <x v="0"/>
    <x v="0"/>
  </r>
  <r>
    <n v="28"/>
    <x v="0"/>
    <s v="Travel_Rarely"/>
    <n v="890"/>
    <x v="1"/>
    <n v="2"/>
    <n v="4"/>
    <s v="Medical"/>
    <n v="1"/>
    <x v="598"/>
    <n v="3"/>
    <s v="Male"/>
    <n v="46"/>
    <n v="3"/>
    <n v="1"/>
    <x v="1"/>
    <x v="2"/>
    <s v="Single"/>
    <n v="4382"/>
    <n v="16374"/>
    <n v="6"/>
    <s v="Y"/>
    <x v="1"/>
    <n v="17"/>
    <n v="3"/>
    <n v="4"/>
    <n v="80"/>
    <n v="0"/>
    <n v="5"/>
    <n v="3"/>
    <x v="2"/>
    <n v="2"/>
    <n v="2"/>
    <n v="2"/>
    <n v="1"/>
    <x v="2"/>
    <x v="0"/>
  </r>
  <r>
    <n v="36"/>
    <x v="1"/>
    <s v="Travel_Rarely"/>
    <n v="1041"/>
    <x v="2"/>
    <n v="13"/>
    <n v="3"/>
    <s v="Human Resources"/>
    <n v="1"/>
    <x v="599"/>
    <n v="3"/>
    <s v="Male"/>
    <n v="36"/>
    <n v="3"/>
    <n v="1"/>
    <x v="8"/>
    <x v="1"/>
    <s v="Married"/>
    <n v="2143"/>
    <n v="25527"/>
    <n v="4"/>
    <s v="Y"/>
    <x v="1"/>
    <n v="13"/>
    <n v="3"/>
    <n v="2"/>
    <n v="80"/>
    <n v="1"/>
    <n v="8"/>
    <n v="2"/>
    <x v="1"/>
    <n v="5"/>
    <n v="2"/>
    <n v="0"/>
    <n v="4"/>
    <x v="1"/>
    <x v="1"/>
  </r>
  <r>
    <n v="32"/>
    <x v="1"/>
    <s v="Travel_Rarely"/>
    <n v="859"/>
    <x v="1"/>
    <n v="4"/>
    <n v="3"/>
    <s v="Life Sciences"/>
    <n v="1"/>
    <x v="600"/>
    <n v="3"/>
    <s v="Female"/>
    <n v="98"/>
    <n v="2"/>
    <n v="2"/>
    <x v="3"/>
    <x v="2"/>
    <s v="Married"/>
    <n v="6162"/>
    <n v="19124"/>
    <n v="1"/>
    <s v="Y"/>
    <x v="1"/>
    <n v="12"/>
    <n v="3"/>
    <n v="3"/>
    <n v="80"/>
    <n v="1"/>
    <n v="14"/>
    <n v="3"/>
    <x v="1"/>
    <n v="14"/>
    <n v="13"/>
    <n v="6"/>
    <n v="8"/>
    <x v="1"/>
    <x v="0"/>
  </r>
  <r>
    <n v="40"/>
    <x v="1"/>
    <s v="Travel_Frequently"/>
    <n v="720"/>
    <x v="1"/>
    <n v="16"/>
    <n v="4"/>
    <s v="Medical"/>
    <n v="1"/>
    <x v="601"/>
    <n v="1"/>
    <s v="Male"/>
    <n v="51"/>
    <n v="2"/>
    <n v="2"/>
    <x v="2"/>
    <x v="2"/>
    <s v="Single"/>
    <n v="5094"/>
    <n v="11983"/>
    <n v="6"/>
    <s v="Y"/>
    <x v="1"/>
    <n v="14"/>
    <n v="3"/>
    <n v="4"/>
    <n v="80"/>
    <n v="0"/>
    <n v="10"/>
    <n v="6"/>
    <x v="1"/>
    <n v="1"/>
    <n v="0"/>
    <n v="0"/>
    <n v="0"/>
    <x v="1"/>
    <x v="0"/>
  </r>
  <r>
    <n v="30"/>
    <x v="1"/>
    <s v="Travel_Rarely"/>
    <n v="946"/>
    <x v="1"/>
    <n v="2"/>
    <n v="3"/>
    <s v="Medical"/>
    <n v="1"/>
    <x v="602"/>
    <n v="3"/>
    <s v="Female"/>
    <n v="52"/>
    <n v="2"/>
    <n v="2"/>
    <x v="3"/>
    <x v="0"/>
    <s v="Single"/>
    <n v="6877"/>
    <n v="20234"/>
    <n v="5"/>
    <s v="Y"/>
    <x v="0"/>
    <n v="24"/>
    <n v="4"/>
    <n v="2"/>
    <n v="80"/>
    <n v="0"/>
    <n v="12"/>
    <n v="4"/>
    <x v="2"/>
    <n v="0"/>
    <n v="0"/>
    <n v="0"/>
    <n v="0"/>
    <x v="1"/>
    <x v="0"/>
  </r>
  <r>
    <n v="45"/>
    <x v="1"/>
    <s v="Travel_Rarely"/>
    <n v="252"/>
    <x v="1"/>
    <n v="2"/>
    <n v="3"/>
    <s v="Life Sciences"/>
    <n v="1"/>
    <x v="603"/>
    <n v="2"/>
    <s v="Female"/>
    <n v="95"/>
    <n v="2"/>
    <n v="1"/>
    <x v="1"/>
    <x v="2"/>
    <s v="Single"/>
    <n v="2274"/>
    <n v="6153"/>
    <n v="1"/>
    <s v="Y"/>
    <x v="1"/>
    <n v="14"/>
    <n v="3"/>
    <n v="4"/>
    <n v="80"/>
    <n v="0"/>
    <n v="1"/>
    <n v="3"/>
    <x v="1"/>
    <n v="1"/>
    <n v="0"/>
    <n v="0"/>
    <n v="0"/>
    <x v="0"/>
    <x v="1"/>
  </r>
  <r>
    <n v="42"/>
    <x v="1"/>
    <s v="Travel_Rarely"/>
    <n v="933"/>
    <x v="1"/>
    <n v="29"/>
    <n v="3"/>
    <s v="Life Sciences"/>
    <n v="1"/>
    <x v="604"/>
    <n v="2"/>
    <s v="Male"/>
    <n v="98"/>
    <n v="3"/>
    <n v="2"/>
    <x v="3"/>
    <x v="1"/>
    <s v="Married"/>
    <n v="4434"/>
    <n v="11806"/>
    <n v="1"/>
    <s v="Y"/>
    <x v="1"/>
    <n v="13"/>
    <n v="3"/>
    <n v="4"/>
    <n v="80"/>
    <n v="1"/>
    <n v="10"/>
    <n v="3"/>
    <x v="2"/>
    <n v="9"/>
    <n v="8"/>
    <n v="7"/>
    <n v="8"/>
    <x v="0"/>
    <x v="0"/>
  </r>
  <r>
    <n v="38"/>
    <x v="1"/>
    <s v="Travel_Frequently"/>
    <n v="471"/>
    <x v="1"/>
    <n v="12"/>
    <n v="3"/>
    <s v="Life Sciences"/>
    <n v="1"/>
    <x v="605"/>
    <n v="1"/>
    <s v="Male"/>
    <n v="45"/>
    <n v="2"/>
    <n v="2"/>
    <x v="4"/>
    <x v="3"/>
    <s v="Divorced"/>
    <n v="6288"/>
    <n v="4284"/>
    <n v="2"/>
    <s v="Y"/>
    <x v="1"/>
    <n v="15"/>
    <n v="3"/>
    <n v="3"/>
    <n v="80"/>
    <n v="1"/>
    <n v="13"/>
    <n v="3"/>
    <x v="2"/>
    <n v="4"/>
    <n v="3"/>
    <n v="1"/>
    <n v="2"/>
    <x v="1"/>
    <x v="0"/>
  </r>
  <r>
    <n v="34"/>
    <x v="1"/>
    <s v="Travel_Frequently"/>
    <n v="702"/>
    <x v="1"/>
    <n v="16"/>
    <n v="4"/>
    <s v="Life Sciences"/>
    <n v="1"/>
    <x v="606"/>
    <n v="3"/>
    <s v="Female"/>
    <n v="100"/>
    <n v="2"/>
    <n v="1"/>
    <x v="1"/>
    <x v="0"/>
    <s v="Single"/>
    <n v="2553"/>
    <n v="8306"/>
    <n v="1"/>
    <s v="Y"/>
    <x v="1"/>
    <n v="16"/>
    <n v="3"/>
    <n v="3"/>
    <n v="80"/>
    <n v="0"/>
    <n v="6"/>
    <n v="3"/>
    <x v="1"/>
    <n v="5"/>
    <n v="2"/>
    <n v="1"/>
    <n v="3"/>
    <x v="1"/>
    <x v="1"/>
  </r>
  <r>
    <n v="49"/>
    <x v="0"/>
    <s v="Travel_Rarely"/>
    <n v="1184"/>
    <x v="0"/>
    <n v="11"/>
    <n v="3"/>
    <s v="Marketing"/>
    <n v="1"/>
    <x v="607"/>
    <n v="3"/>
    <s v="Female"/>
    <n v="43"/>
    <n v="3"/>
    <n v="3"/>
    <x v="0"/>
    <x v="0"/>
    <s v="Married"/>
    <n v="7654"/>
    <n v="5860"/>
    <n v="1"/>
    <s v="Y"/>
    <x v="1"/>
    <n v="18"/>
    <n v="3"/>
    <n v="1"/>
    <n v="80"/>
    <n v="2"/>
    <n v="9"/>
    <n v="3"/>
    <x v="3"/>
    <n v="9"/>
    <n v="8"/>
    <n v="7"/>
    <n v="7"/>
    <x v="0"/>
    <x v="2"/>
  </r>
  <r>
    <n v="55"/>
    <x v="0"/>
    <s v="Travel_Rarely"/>
    <n v="436"/>
    <x v="0"/>
    <n v="2"/>
    <n v="1"/>
    <s v="Medical"/>
    <n v="1"/>
    <x v="608"/>
    <n v="3"/>
    <s v="Male"/>
    <n v="37"/>
    <n v="3"/>
    <n v="2"/>
    <x v="0"/>
    <x v="0"/>
    <s v="Single"/>
    <n v="5160"/>
    <n v="21519"/>
    <n v="4"/>
    <s v="Y"/>
    <x v="1"/>
    <n v="16"/>
    <n v="3"/>
    <n v="3"/>
    <n v="80"/>
    <n v="0"/>
    <n v="12"/>
    <n v="3"/>
    <x v="2"/>
    <n v="9"/>
    <n v="7"/>
    <n v="7"/>
    <n v="3"/>
    <x v="3"/>
    <x v="0"/>
  </r>
  <r>
    <n v="43"/>
    <x v="1"/>
    <s v="Travel_Rarely"/>
    <n v="589"/>
    <x v="1"/>
    <n v="14"/>
    <n v="2"/>
    <s v="Life Sciences"/>
    <n v="1"/>
    <x v="609"/>
    <n v="2"/>
    <s v="Male"/>
    <n v="94"/>
    <n v="3"/>
    <n v="4"/>
    <x v="7"/>
    <x v="3"/>
    <s v="Married"/>
    <n v="17159"/>
    <n v="5200"/>
    <n v="6"/>
    <s v="Y"/>
    <x v="1"/>
    <n v="24"/>
    <n v="4"/>
    <n v="3"/>
    <n v="80"/>
    <n v="1"/>
    <n v="22"/>
    <n v="3"/>
    <x v="1"/>
    <n v="4"/>
    <n v="1"/>
    <n v="1"/>
    <n v="0"/>
    <x v="0"/>
    <x v="2"/>
  </r>
  <r>
    <n v="27"/>
    <x v="1"/>
    <s v="Travel_Rarely"/>
    <n v="269"/>
    <x v="1"/>
    <n v="5"/>
    <n v="1"/>
    <s v="Technical Degree"/>
    <n v="1"/>
    <x v="610"/>
    <n v="3"/>
    <s v="Male"/>
    <n v="42"/>
    <n v="2"/>
    <n v="3"/>
    <x v="7"/>
    <x v="0"/>
    <s v="Divorced"/>
    <n v="12808"/>
    <n v="8842"/>
    <n v="1"/>
    <s v="Y"/>
    <x v="0"/>
    <n v="16"/>
    <n v="3"/>
    <n v="2"/>
    <n v="80"/>
    <n v="1"/>
    <n v="9"/>
    <n v="3"/>
    <x v="1"/>
    <n v="9"/>
    <n v="8"/>
    <n v="0"/>
    <n v="8"/>
    <x v="2"/>
    <x v="2"/>
  </r>
  <r>
    <n v="35"/>
    <x v="1"/>
    <s v="Travel_Rarely"/>
    <n v="950"/>
    <x v="1"/>
    <n v="7"/>
    <n v="3"/>
    <s v="Other"/>
    <n v="1"/>
    <x v="611"/>
    <n v="3"/>
    <s v="Male"/>
    <n v="59"/>
    <n v="3"/>
    <n v="3"/>
    <x v="3"/>
    <x v="2"/>
    <s v="Single"/>
    <n v="10221"/>
    <n v="18869"/>
    <n v="3"/>
    <s v="Y"/>
    <x v="1"/>
    <n v="21"/>
    <n v="4"/>
    <n v="2"/>
    <n v="80"/>
    <n v="0"/>
    <n v="17"/>
    <n v="3"/>
    <x v="3"/>
    <n v="8"/>
    <n v="5"/>
    <n v="1"/>
    <n v="6"/>
    <x v="1"/>
    <x v="2"/>
  </r>
  <r>
    <n v="28"/>
    <x v="1"/>
    <s v="Travel_Rarely"/>
    <n v="760"/>
    <x v="0"/>
    <n v="2"/>
    <n v="4"/>
    <s v="Marketing"/>
    <n v="1"/>
    <x v="612"/>
    <n v="2"/>
    <s v="Female"/>
    <n v="81"/>
    <n v="3"/>
    <n v="2"/>
    <x v="0"/>
    <x v="1"/>
    <s v="Married"/>
    <n v="4779"/>
    <n v="3698"/>
    <n v="1"/>
    <s v="Y"/>
    <x v="0"/>
    <n v="20"/>
    <n v="4"/>
    <n v="1"/>
    <n v="80"/>
    <n v="0"/>
    <n v="8"/>
    <n v="2"/>
    <x v="1"/>
    <n v="8"/>
    <n v="7"/>
    <n v="7"/>
    <n v="5"/>
    <x v="2"/>
    <x v="0"/>
  </r>
  <r>
    <n v="34"/>
    <x v="1"/>
    <s v="Travel_Rarely"/>
    <n v="829"/>
    <x v="2"/>
    <n v="3"/>
    <n v="2"/>
    <s v="Human Resources"/>
    <n v="1"/>
    <x v="613"/>
    <n v="3"/>
    <s v="Male"/>
    <n v="88"/>
    <n v="3"/>
    <n v="1"/>
    <x v="8"/>
    <x v="0"/>
    <s v="Married"/>
    <n v="3737"/>
    <n v="2243"/>
    <n v="0"/>
    <s v="Y"/>
    <x v="1"/>
    <n v="19"/>
    <n v="3"/>
    <n v="3"/>
    <n v="80"/>
    <n v="1"/>
    <n v="4"/>
    <n v="1"/>
    <x v="0"/>
    <n v="3"/>
    <n v="2"/>
    <n v="0"/>
    <n v="2"/>
    <x v="1"/>
    <x v="1"/>
  </r>
  <r>
    <n v="26"/>
    <x v="0"/>
    <s v="Travel_Frequently"/>
    <n v="887"/>
    <x v="1"/>
    <n v="5"/>
    <n v="2"/>
    <s v="Medical"/>
    <n v="1"/>
    <x v="614"/>
    <n v="3"/>
    <s v="Female"/>
    <n v="88"/>
    <n v="2"/>
    <n v="1"/>
    <x v="1"/>
    <x v="2"/>
    <s v="Married"/>
    <n v="2366"/>
    <n v="20898"/>
    <n v="1"/>
    <s v="Y"/>
    <x v="0"/>
    <n v="14"/>
    <n v="3"/>
    <n v="1"/>
    <n v="80"/>
    <n v="1"/>
    <n v="8"/>
    <n v="2"/>
    <x v="1"/>
    <n v="8"/>
    <n v="7"/>
    <n v="1"/>
    <n v="7"/>
    <x v="2"/>
    <x v="1"/>
  </r>
  <r>
    <n v="27"/>
    <x v="1"/>
    <s v="Non-Travel"/>
    <n v="443"/>
    <x v="1"/>
    <n v="3"/>
    <n v="3"/>
    <s v="Medical"/>
    <n v="1"/>
    <x v="615"/>
    <n v="4"/>
    <s v="Male"/>
    <n v="50"/>
    <n v="3"/>
    <n v="1"/>
    <x v="1"/>
    <x v="0"/>
    <s v="Married"/>
    <n v="1706"/>
    <n v="16571"/>
    <n v="1"/>
    <s v="Y"/>
    <x v="1"/>
    <n v="11"/>
    <n v="3"/>
    <n v="3"/>
    <n v="80"/>
    <n v="3"/>
    <n v="0"/>
    <n v="6"/>
    <x v="2"/>
    <n v="0"/>
    <n v="0"/>
    <n v="0"/>
    <n v="0"/>
    <x v="2"/>
    <x v="1"/>
  </r>
  <r>
    <n v="51"/>
    <x v="1"/>
    <s v="Travel_Rarely"/>
    <n v="1318"/>
    <x v="0"/>
    <n v="26"/>
    <n v="4"/>
    <s v="Marketing"/>
    <n v="1"/>
    <x v="616"/>
    <n v="1"/>
    <s v="Female"/>
    <n v="66"/>
    <n v="3"/>
    <n v="4"/>
    <x v="5"/>
    <x v="2"/>
    <s v="Married"/>
    <n v="16307"/>
    <n v="5594"/>
    <n v="2"/>
    <s v="Y"/>
    <x v="1"/>
    <n v="14"/>
    <n v="3"/>
    <n v="3"/>
    <n v="80"/>
    <n v="1"/>
    <n v="29"/>
    <n v="2"/>
    <x v="2"/>
    <n v="20"/>
    <n v="6"/>
    <n v="4"/>
    <n v="17"/>
    <x v="3"/>
    <x v="2"/>
  </r>
  <r>
    <n v="44"/>
    <x v="1"/>
    <s v="Travel_Rarely"/>
    <n v="625"/>
    <x v="1"/>
    <n v="4"/>
    <n v="3"/>
    <s v="Medical"/>
    <n v="1"/>
    <x v="617"/>
    <n v="4"/>
    <s v="Male"/>
    <n v="50"/>
    <n v="3"/>
    <n v="2"/>
    <x v="4"/>
    <x v="1"/>
    <s v="Single"/>
    <n v="5933"/>
    <n v="5197"/>
    <n v="9"/>
    <s v="Y"/>
    <x v="1"/>
    <n v="12"/>
    <n v="3"/>
    <n v="4"/>
    <n v="80"/>
    <n v="0"/>
    <n v="10"/>
    <n v="2"/>
    <x v="2"/>
    <n v="5"/>
    <n v="2"/>
    <n v="2"/>
    <n v="3"/>
    <x v="0"/>
    <x v="0"/>
  </r>
  <r>
    <n v="25"/>
    <x v="1"/>
    <s v="Travel_Rarely"/>
    <n v="180"/>
    <x v="1"/>
    <n v="2"/>
    <n v="1"/>
    <s v="Medical"/>
    <n v="1"/>
    <x v="618"/>
    <n v="1"/>
    <s v="Male"/>
    <n v="65"/>
    <n v="4"/>
    <n v="1"/>
    <x v="1"/>
    <x v="3"/>
    <s v="Single"/>
    <n v="3424"/>
    <n v="21632"/>
    <n v="7"/>
    <s v="Y"/>
    <x v="1"/>
    <n v="13"/>
    <n v="3"/>
    <n v="3"/>
    <n v="80"/>
    <n v="0"/>
    <n v="6"/>
    <n v="3"/>
    <x v="2"/>
    <n v="4"/>
    <n v="3"/>
    <n v="0"/>
    <n v="1"/>
    <x v="2"/>
    <x v="1"/>
  </r>
  <r>
    <n v="33"/>
    <x v="1"/>
    <s v="Travel_Rarely"/>
    <n v="586"/>
    <x v="0"/>
    <n v="1"/>
    <n v="3"/>
    <s v="Medical"/>
    <n v="1"/>
    <x v="619"/>
    <n v="1"/>
    <s v="Male"/>
    <n v="48"/>
    <n v="4"/>
    <n v="2"/>
    <x v="0"/>
    <x v="3"/>
    <s v="Divorced"/>
    <n v="4037"/>
    <n v="21816"/>
    <n v="1"/>
    <s v="Y"/>
    <x v="1"/>
    <n v="22"/>
    <n v="4"/>
    <n v="1"/>
    <n v="80"/>
    <n v="1"/>
    <n v="9"/>
    <n v="5"/>
    <x v="1"/>
    <n v="9"/>
    <n v="8"/>
    <n v="0"/>
    <n v="8"/>
    <x v="1"/>
    <x v="0"/>
  </r>
  <r>
    <n v="35"/>
    <x v="1"/>
    <s v="Travel_Rarely"/>
    <n v="1343"/>
    <x v="1"/>
    <n v="27"/>
    <n v="1"/>
    <s v="Medical"/>
    <n v="1"/>
    <x v="620"/>
    <n v="3"/>
    <s v="Female"/>
    <n v="53"/>
    <n v="2"/>
    <n v="1"/>
    <x v="1"/>
    <x v="3"/>
    <s v="Single"/>
    <n v="2559"/>
    <n v="17852"/>
    <n v="1"/>
    <s v="Y"/>
    <x v="1"/>
    <n v="11"/>
    <n v="3"/>
    <n v="4"/>
    <n v="80"/>
    <n v="0"/>
    <n v="6"/>
    <n v="3"/>
    <x v="2"/>
    <n v="6"/>
    <n v="5"/>
    <n v="1"/>
    <n v="1"/>
    <x v="1"/>
    <x v="1"/>
  </r>
  <r>
    <n v="36"/>
    <x v="1"/>
    <s v="Travel_Rarely"/>
    <n v="928"/>
    <x v="0"/>
    <n v="1"/>
    <n v="2"/>
    <s v="Life Sciences"/>
    <n v="1"/>
    <x v="621"/>
    <n v="2"/>
    <s v="Male"/>
    <n v="56"/>
    <n v="3"/>
    <n v="2"/>
    <x v="0"/>
    <x v="0"/>
    <s v="Married"/>
    <n v="6201"/>
    <n v="2823"/>
    <n v="1"/>
    <s v="Y"/>
    <x v="0"/>
    <n v="14"/>
    <n v="3"/>
    <n v="4"/>
    <n v="80"/>
    <n v="1"/>
    <n v="18"/>
    <n v="1"/>
    <x v="2"/>
    <n v="18"/>
    <n v="14"/>
    <n v="4"/>
    <n v="11"/>
    <x v="1"/>
    <x v="0"/>
  </r>
  <r>
    <n v="32"/>
    <x v="1"/>
    <s v="Travel_Rarely"/>
    <n v="117"/>
    <x v="0"/>
    <n v="13"/>
    <n v="4"/>
    <s v="Life Sciences"/>
    <n v="1"/>
    <x v="622"/>
    <n v="2"/>
    <s v="Male"/>
    <n v="73"/>
    <n v="3"/>
    <n v="2"/>
    <x v="0"/>
    <x v="0"/>
    <s v="Divorced"/>
    <n v="4403"/>
    <n v="9250"/>
    <n v="2"/>
    <s v="Y"/>
    <x v="1"/>
    <n v="11"/>
    <n v="3"/>
    <n v="3"/>
    <n v="80"/>
    <n v="1"/>
    <n v="8"/>
    <n v="3"/>
    <x v="2"/>
    <n v="5"/>
    <n v="2"/>
    <n v="0"/>
    <n v="3"/>
    <x v="1"/>
    <x v="0"/>
  </r>
  <r>
    <n v="30"/>
    <x v="1"/>
    <s v="Travel_Frequently"/>
    <n v="1012"/>
    <x v="1"/>
    <n v="5"/>
    <n v="4"/>
    <s v="Life Sciences"/>
    <n v="1"/>
    <x v="623"/>
    <n v="2"/>
    <s v="Male"/>
    <n v="75"/>
    <n v="2"/>
    <n v="1"/>
    <x v="1"/>
    <x v="0"/>
    <s v="Divorced"/>
    <n v="3761"/>
    <n v="2373"/>
    <n v="9"/>
    <s v="Y"/>
    <x v="1"/>
    <n v="12"/>
    <n v="3"/>
    <n v="2"/>
    <n v="80"/>
    <n v="1"/>
    <n v="10"/>
    <n v="3"/>
    <x v="2"/>
    <n v="5"/>
    <n v="4"/>
    <n v="0"/>
    <n v="3"/>
    <x v="1"/>
    <x v="1"/>
  </r>
  <r>
    <n v="53"/>
    <x v="1"/>
    <s v="Travel_Rarely"/>
    <n v="661"/>
    <x v="0"/>
    <n v="7"/>
    <n v="2"/>
    <s v="Marketing"/>
    <n v="1"/>
    <x v="624"/>
    <n v="1"/>
    <s v="Female"/>
    <n v="78"/>
    <n v="2"/>
    <n v="3"/>
    <x v="0"/>
    <x v="0"/>
    <s v="Married"/>
    <n v="10934"/>
    <n v="20715"/>
    <n v="7"/>
    <s v="Y"/>
    <x v="0"/>
    <n v="18"/>
    <n v="3"/>
    <n v="4"/>
    <n v="80"/>
    <n v="1"/>
    <n v="35"/>
    <n v="3"/>
    <x v="1"/>
    <n v="5"/>
    <n v="2"/>
    <n v="0"/>
    <n v="4"/>
    <x v="3"/>
    <x v="2"/>
  </r>
  <r>
    <n v="45"/>
    <x v="1"/>
    <s v="Travel_Rarely"/>
    <n v="930"/>
    <x v="0"/>
    <n v="9"/>
    <n v="3"/>
    <s v="Marketing"/>
    <n v="1"/>
    <x v="625"/>
    <n v="4"/>
    <s v="Male"/>
    <n v="74"/>
    <n v="3"/>
    <n v="3"/>
    <x v="0"/>
    <x v="3"/>
    <s v="Divorced"/>
    <n v="10761"/>
    <n v="19239"/>
    <n v="4"/>
    <s v="Y"/>
    <x v="0"/>
    <n v="12"/>
    <n v="3"/>
    <n v="3"/>
    <n v="80"/>
    <n v="1"/>
    <n v="18"/>
    <n v="2"/>
    <x v="1"/>
    <n v="5"/>
    <n v="4"/>
    <n v="0"/>
    <n v="2"/>
    <x v="0"/>
    <x v="2"/>
  </r>
  <r>
    <n v="32"/>
    <x v="1"/>
    <s v="Travel_Rarely"/>
    <n v="638"/>
    <x v="1"/>
    <n v="8"/>
    <n v="2"/>
    <s v="Medical"/>
    <n v="1"/>
    <x v="626"/>
    <n v="3"/>
    <s v="Female"/>
    <n v="91"/>
    <n v="4"/>
    <n v="2"/>
    <x v="1"/>
    <x v="2"/>
    <s v="Married"/>
    <n v="5175"/>
    <n v="22162"/>
    <n v="5"/>
    <s v="Y"/>
    <x v="1"/>
    <n v="12"/>
    <n v="3"/>
    <n v="3"/>
    <n v="80"/>
    <n v="1"/>
    <n v="9"/>
    <n v="3"/>
    <x v="2"/>
    <n v="5"/>
    <n v="3"/>
    <n v="1"/>
    <n v="3"/>
    <x v="1"/>
    <x v="0"/>
  </r>
  <r>
    <n v="52"/>
    <x v="1"/>
    <s v="Travel_Frequently"/>
    <n v="890"/>
    <x v="1"/>
    <n v="25"/>
    <n v="4"/>
    <s v="Medical"/>
    <n v="1"/>
    <x v="627"/>
    <n v="3"/>
    <s v="Female"/>
    <n v="81"/>
    <n v="2"/>
    <n v="4"/>
    <x v="3"/>
    <x v="0"/>
    <s v="Married"/>
    <n v="13826"/>
    <n v="19028"/>
    <n v="3"/>
    <s v="Y"/>
    <x v="1"/>
    <n v="22"/>
    <n v="4"/>
    <n v="3"/>
    <n v="80"/>
    <n v="0"/>
    <n v="31"/>
    <n v="3"/>
    <x v="1"/>
    <n v="9"/>
    <n v="8"/>
    <n v="0"/>
    <n v="0"/>
    <x v="3"/>
    <x v="2"/>
  </r>
  <r>
    <n v="37"/>
    <x v="1"/>
    <s v="Travel_Rarely"/>
    <n v="342"/>
    <x v="0"/>
    <n v="16"/>
    <n v="4"/>
    <s v="Marketing"/>
    <n v="1"/>
    <x v="628"/>
    <n v="4"/>
    <s v="Male"/>
    <n v="66"/>
    <n v="2"/>
    <n v="2"/>
    <x v="0"/>
    <x v="2"/>
    <s v="Divorced"/>
    <n v="6334"/>
    <n v="24558"/>
    <n v="4"/>
    <s v="Y"/>
    <x v="1"/>
    <n v="19"/>
    <n v="3"/>
    <n v="4"/>
    <n v="80"/>
    <n v="2"/>
    <n v="9"/>
    <n v="2"/>
    <x v="1"/>
    <n v="1"/>
    <n v="0"/>
    <n v="0"/>
    <n v="0"/>
    <x v="1"/>
    <x v="0"/>
  </r>
  <r>
    <n v="28"/>
    <x v="1"/>
    <s v="Travel_Rarely"/>
    <n v="1169"/>
    <x v="2"/>
    <n v="8"/>
    <n v="2"/>
    <s v="Medical"/>
    <n v="1"/>
    <x v="629"/>
    <n v="2"/>
    <s v="Male"/>
    <n v="63"/>
    <n v="2"/>
    <n v="1"/>
    <x v="8"/>
    <x v="0"/>
    <s v="Divorced"/>
    <n v="4936"/>
    <n v="23965"/>
    <n v="1"/>
    <s v="Y"/>
    <x v="1"/>
    <n v="13"/>
    <n v="3"/>
    <n v="4"/>
    <n v="80"/>
    <n v="1"/>
    <n v="6"/>
    <n v="6"/>
    <x v="1"/>
    <n v="5"/>
    <n v="1"/>
    <n v="0"/>
    <n v="4"/>
    <x v="2"/>
    <x v="0"/>
  </r>
  <r>
    <n v="22"/>
    <x v="1"/>
    <s v="Travel_Rarely"/>
    <n v="1230"/>
    <x v="1"/>
    <n v="1"/>
    <n v="2"/>
    <s v="Life Sciences"/>
    <n v="1"/>
    <x v="630"/>
    <n v="4"/>
    <s v="Male"/>
    <n v="33"/>
    <n v="2"/>
    <n v="2"/>
    <x v="3"/>
    <x v="0"/>
    <s v="Married"/>
    <n v="4775"/>
    <n v="19146"/>
    <n v="6"/>
    <s v="Y"/>
    <x v="1"/>
    <n v="22"/>
    <n v="4"/>
    <n v="1"/>
    <n v="80"/>
    <n v="2"/>
    <n v="4"/>
    <n v="2"/>
    <x v="0"/>
    <n v="2"/>
    <n v="2"/>
    <n v="2"/>
    <n v="2"/>
    <x v="2"/>
    <x v="0"/>
  </r>
  <r>
    <n v="44"/>
    <x v="1"/>
    <s v="Travel_Rarely"/>
    <n v="986"/>
    <x v="1"/>
    <n v="8"/>
    <n v="4"/>
    <s v="Life Sciences"/>
    <n v="1"/>
    <x v="631"/>
    <n v="1"/>
    <s v="Male"/>
    <n v="62"/>
    <n v="4"/>
    <n v="1"/>
    <x v="2"/>
    <x v="0"/>
    <s v="Married"/>
    <n v="2818"/>
    <n v="5044"/>
    <n v="2"/>
    <s v="Y"/>
    <x v="0"/>
    <n v="24"/>
    <n v="4"/>
    <n v="3"/>
    <n v="80"/>
    <n v="1"/>
    <n v="10"/>
    <n v="2"/>
    <x v="2"/>
    <n v="3"/>
    <n v="2"/>
    <n v="0"/>
    <n v="2"/>
    <x v="0"/>
    <x v="1"/>
  </r>
  <r>
    <n v="42"/>
    <x v="1"/>
    <s v="Travel_Frequently"/>
    <n v="1271"/>
    <x v="1"/>
    <n v="2"/>
    <n v="1"/>
    <s v="Medical"/>
    <n v="1"/>
    <x v="632"/>
    <n v="2"/>
    <s v="Male"/>
    <n v="35"/>
    <n v="3"/>
    <n v="1"/>
    <x v="1"/>
    <x v="0"/>
    <s v="Single"/>
    <n v="2515"/>
    <n v="9068"/>
    <n v="5"/>
    <s v="Y"/>
    <x v="0"/>
    <n v="14"/>
    <n v="3"/>
    <n v="4"/>
    <n v="80"/>
    <n v="0"/>
    <n v="8"/>
    <n v="2"/>
    <x v="1"/>
    <n v="2"/>
    <n v="1"/>
    <n v="2"/>
    <n v="2"/>
    <x v="0"/>
    <x v="1"/>
  </r>
  <r>
    <n v="36"/>
    <x v="1"/>
    <s v="Travel_Rarely"/>
    <n v="1278"/>
    <x v="2"/>
    <n v="8"/>
    <n v="3"/>
    <s v="Life Sciences"/>
    <n v="1"/>
    <x v="633"/>
    <n v="1"/>
    <s v="Male"/>
    <n v="77"/>
    <n v="2"/>
    <n v="1"/>
    <x v="8"/>
    <x v="3"/>
    <s v="Married"/>
    <n v="2342"/>
    <n v="8635"/>
    <n v="0"/>
    <s v="Y"/>
    <x v="1"/>
    <n v="21"/>
    <n v="4"/>
    <n v="3"/>
    <n v="80"/>
    <n v="0"/>
    <n v="6"/>
    <n v="3"/>
    <x v="1"/>
    <n v="5"/>
    <n v="4"/>
    <n v="0"/>
    <n v="3"/>
    <x v="1"/>
    <x v="1"/>
  </r>
  <r>
    <n v="25"/>
    <x v="1"/>
    <s v="Travel_Rarely"/>
    <n v="141"/>
    <x v="0"/>
    <n v="3"/>
    <n v="1"/>
    <s v="Other"/>
    <n v="1"/>
    <x v="634"/>
    <n v="3"/>
    <s v="Male"/>
    <n v="98"/>
    <n v="3"/>
    <n v="2"/>
    <x v="0"/>
    <x v="3"/>
    <s v="Married"/>
    <n v="4194"/>
    <n v="14363"/>
    <n v="1"/>
    <s v="Y"/>
    <x v="0"/>
    <n v="18"/>
    <n v="3"/>
    <n v="4"/>
    <n v="80"/>
    <n v="0"/>
    <n v="5"/>
    <n v="3"/>
    <x v="1"/>
    <n v="5"/>
    <n v="3"/>
    <n v="0"/>
    <n v="3"/>
    <x v="2"/>
    <x v="0"/>
  </r>
  <r>
    <n v="35"/>
    <x v="1"/>
    <s v="Travel_Rarely"/>
    <n v="607"/>
    <x v="1"/>
    <n v="9"/>
    <n v="3"/>
    <s v="Life Sciences"/>
    <n v="1"/>
    <x v="635"/>
    <n v="4"/>
    <s v="Female"/>
    <n v="66"/>
    <n v="2"/>
    <n v="3"/>
    <x v="3"/>
    <x v="2"/>
    <s v="Married"/>
    <n v="10685"/>
    <n v="23457"/>
    <n v="1"/>
    <s v="Y"/>
    <x v="0"/>
    <n v="20"/>
    <n v="4"/>
    <n v="2"/>
    <n v="80"/>
    <n v="1"/>
    <n v="17"/>
    <n v="2"/>
    <x v="1"/>
    <n v="17"/>
    <n v="14"/>
    <n v="5"/>
    <n v="15"/>
    <x v="1"/>
    <x v="2"/>
  </r>
  <r>
    <n v="35"/>
    <x v="0"/>
    <s v="Travel_Frequently"/>
    <n v="130"/>
    <x v="1"/>
    <n v="25"/>
    <n v="4"/>
    <s v="Life Sciences"/>
    <n v="1"/>
    <x v="636"/>
    <n v="4"/>
    <s v="Female"/>
    <n v="96"/>
    <n v="3"/>
    <n v="1"/>
    <x v="1"/>
    <x v="1"/>
    <s v="Divorced"/>
    <n v="2022"/>
    <n v="16612"/>
    <n v="1"/>
    <s v="Y"/>
    <x v="0"/>
    <n v="19"/>
    <n v="3"/>
    <n v="1"/>
    <n v="80"/>
    <n v="1"/>
    <n v="10"/>
    <n v="3"/>
    <x v="2"/>
    <n v="10"/>
    <n v="2"/>
    <n v="7"/>
    <n v="8"/>
    <x v="1"/>
    <x v="1"/>
  </r>
  <r>
    <n v="32"/>
    <x v="1"/>
    <s v="Non-Travel"/>
    <n v="300"/>
    <x v="1"/>
    <n v="1"/>
    <n v="3"/>
    <s v="Life Sciences"/>
    <n v="1"/>
    <x v="637"/>
    <n v="4"/>
    <s v="Male"/>
    <n v="61"/>
    <n v="3"/>
    <n v="1"/>
    <x v="2"/>
    <x v="0"/>
    <s v="Divorced"/>
    <n v="2314"/>
    <n v="9148"/>
    <n v="0"/>
    <s v="Y"/>
    <x v="1"/>
    <n v="12"/>
    <n v="3"/>
    <n v="2"/>
    <n v="80"/>
    <n v="1"/>
    <n v="4"/>
    <n v="2"/>
    <x v="1"/>
    <n v="3"/>
    <n v="0"/>
    <n v="0"/>
    <n v="2"/>
    <x v="1"/>
    <x v="1"/>
  </r>
  <r>
    <n v="25"/>
    <x v="1"/>
    <s v="Travel_Rarely"/>
    <n v="583"/>
    <x v="0"/>
    <n v="4"/>
    <n v="1"/>
    <s v="Marketing"/>
    <n v="1"/>
    <x v="638"/>
    <n v="3"/>
    <s v="Male"/>
    <n v="87"/>
    <n v="2"/>
    <n v="2"/>
    <x v="0"/>
    <x v="3"/>
    <s v="Married"/>
    <n v="4256"/>
    <n v="18154"/>
    <n v="1"/>
    <s v="Y"/>
    <x v="1"/>
    <n v="12"/>
    <n v="3"/>
    <n v="1"/>
    <n v="80"/>
    <n v="0"/>
    <n v="5"/>
    <n v="1"/>
    <x v="3"/>
    <n v="5"/>
    <n v="2"/>
    <n v="0"/>
    <n v="3"/>
    <x v="2"/>
    <x v="0"/>
  </r>
  <r>
    <n v="49"/>
    <x v="1"/>
    <s v="Travel_Rarely"/>
    <n v="1418"/>
    <x v="1"/>
    <n v="1"/>
    <n v="3"/>
    <s v="Technical Degree"/>
    <n v="1"/>
    <x v="639"/>
    <n v="3"/>
    <s v="Female"/>
    <n v="36"/>
    <n v="3"/>
    <n v="1"/>
    <x v="1"/>
    <x v="3"/>
    <s v="Married"/>
    <n v="3580"/>
    <n v="10554"/>
    <n v="2"/>
    <s v="Y"/>
    <x v="1"/>
    <n v="16"/>
    <n v="3"/>
    <n v="2"/>
    <n v="80"/>
    <n v="1"/>
    <n v="7"/>
    <n v="2"/>
    <x v="1"/>
    <n v="4"/>
    <n v="2"/>
    <n v="0"/>
    <n v="2"/>
    <x v="0"/>
    <x v="1"/>
  </r>
  <r>
    <n v="24"/>
    <x v="1"/>
    <s v="Non-Travel"/>
    <n v="1269"/>
    <x v="1"/>
    <n v="4"/>
    <n v="1"/>
    <s v="Life Sciences"/>
    <n v="1"/>
    <x v="640"/>
    <n v="1"/>
    <s v="Male"/>
    <n v="46"/>
    <n v="2"/>
    <n v="1"/>
    <x v="2"/>
    <x v="0"/>
    <s v="Married"/>
    <n v="3162"/>
    <n v="10778"/>
    <n v="0"/>
    <s v="Y"/>
    <x v="1"/>
    <n v="17"/>
    <n v="3"/>
    <n v="4"/>
    <n v="80"/>
    <n v="0"/>
    <n v="6"/>
    <n v="2"/>
    <x v="2"/>
    <n v="5"/>
    <n v="2"/>
    <n v="3"/>
    <n v="4"/>
    <x v="2"/>
    <x v="1"/>
  </r>
  <r>
    <n v="32"/>
    <x v="1"/>
    <s v="Travel_Frequently"/>
    <n v="379"/>
    <x v="0"/>
    <n v="5"/>
    <n v="2"/>
    <s v="Life Sciences"/>
    <n v="1"/>
    <x v="641"/>
    <n v="2"/>
    <s v="Male"/>
    <n v="48"/>
    <n v="3"/>
    <n v="2"/>
    <x v="0"/>
    <x v="1"/>
    <s v="Married"/>
    <n v="6524"/>
    <n v="8891"/>
    <n v="1"/>
    <s v="Y"/>
    <x v="1"/>
    <n v="14"/>
    <n v="3"/>
    <n v="4"/>
    <n v="80"/>
    <n v="1"/>
    <n v="10"/>
    <n v="3"/>
    <x v="1"/>
    <n v="10"/>
    <n v="8"/>
    <n v="5"/>
    <n v="3"/>
    <x v="1"/>
    <x v="0"/>
  </r>
  <r>
    <n v="38"/>
    <x v="1"/>
    <s v="Travel_Rarely"/>
    <n v="395"/>
    <x v="0"/>
    <n v="9"/>
    <n v="3"/>
    <s v="Marketing"/>
    <n v="1"/>
    <x v="642"/>
    <n v="2"/>
    <s v="Male"/>
    <n v="98"/>
    <n v="2"/>
    <n v="1"/>
    <x v="6"/>
    <x v="1"/>
    <s v="Married"/>
    <n v="2899"/>
    <n v="12102"/>
    <n v="0"/>
    <s v="Y"/>
    <x v="1"/>
    <n v="19"/>
    <n v="3"/>
    <n v="4"/>
    <n v="80"/>
    <n v="1"/>
    <n v="3"/>
    <n v="3"/>
    <x v="1"/>
    <n v="2"/>
    <n v="2"/>
    <n v="1"/>
    <n v="2"/>
    <x v="1"/>
    <x v="1"/>
  </r>
  <r>
    <n v="42"/>
    <x v="1"/>
    <s v="Travel_Rarely"/>
    <n v="1265"/>
    <x v="1"/>
    <n v="3"/>
    <n v="3"/>
    <s v="Life Sciences"/>
    <n v="1"/>
    <x v="643"/>
    <n v="3"/>
    <s v="Female"/>
    <n v="95"/>
    <n v="4"/>
    <n v="2"/>
    <x v="2"/>
    <x v="0"/>
    <s v="Married"/>
    <n v="5231"/>
    <n v="23726"/>
    <n v="2"/>
    <s v="Y"/>
    <x v="0"/>
    <n v="13"/>
    <n v="3"/>
    <n v="2"/>
    <n v="80"/>
    <n v="1"/>
    <n v="17"/>
    <n v="1"/>
    <x v="2"/>
    <n v="5"/>
    <n v="3"/>
    <n v="1"/>
    <n v="3"/>
    <x v="0"/>
    <x v="0"/>
  </r>
  <r>
    <n v="31"/>
    <x v="1"/>
    <s v="Travel_Rarely"/>
    <n v="1222"/>
    <x v="1"/>
    <n v="11"/>
    <n v="4"/>
    <s v="Life Sciences"/>
    <n v="1"/>
    <x v="644"/>
    <n v="4"/>
    <s v="Male"/>
    <n v="48"/>
    <n v="3"/>
    <n v="1"/>
    <x v="1"/>
    <x v="0"/>
    <s v="Married"/>
    <n v="2356"/>
    <n v="14871"/>
    <n v="3"/>
    <s v="Y"/>
    <x v="0"/>
    <n v="19"/>
    <n v="3"/>
    <n v="2"/>
    <n v="80"/>
    <n v="1"/>
    <n v="8"/>
    <n v="2"/>
    <x v="1"/>
    <n v="6"/>
    <n v="4"/>
    <n v="0"/>
    <n v="2"/>
    <x v="1"/>
    <x v="1"/>
  </r>
  <r>
    <n v="29"/>
    <x v="0"/>
    <s v="Travel_Rarely"/>
    <n v="341"/>
    <x v="0"/>
    <n v="1"/>
    <n v="3"/>
    <s v="Medical"/>
    <n v="1"/>
    <x v="645"/>
    <n v="2"/>
    <s v="Female"/>
    <n v="48"/>
    <n v="2"/>
    <n v="1"/>
    <x v="6"/>
    <x v="2"/>
    <s v="Divorced"/>
    <n v="2800"/>
    <n v="23522"/>
    <n v="6"/>
    <s v="Y"/>
    <x v="0"/>
    <n v="19"/>
    <n v="3"/>
    <n v="3"/>
    <n v="80"/>
    <n v="3"/>
    <n v="5"/>
    <n v="3"/>
    <x v="1"/>
    <n v="3"/>
    <n v="2"/>
    <n v="0"/>
    <n v="2"/>
    <x v="2"/>
    <x v="1"/>
  </r>
  <r>
    <n v="53"/>
    <x v="1"/>
    <s v="Travel_Rarely"/>
    <n v="868"/>
    <x v="0"/>
    <n v="8"/>
    <n v="3"/>
    <s v="Marketing"/>
    <n v="1"/>
    <x v="646"/>
    <n v="1"/>
    <s v="Male"/>
    <n v="73"/>
    <n v="3"/>
    <n v="4"/>
    <x v="0"/>
    <x v="0"/>
    <s v="Married"/>
    <n v="11836"/>
    <n v="22789"/>
    <n v="5"/>
    <s v="Y"/>
    <x v="1"/>
    <n v="14"/>
    <n v="3"/>
    <n v="3"/>
    <n v="80"/>
    <n v="1"/>
    <n v="28"/>
    <n v="3"/>
    <x v="1"/>
    <n v="2"/>
    <n v="0"/>
    <n v="2"/>
    <n v="2"/>
    <x v="3"/>
    <x v="2"/>
  </r>
  <r>
    <n v="35"/>
    <x v="1"/>
    <s v="Travel_Rarely"/>
    <n v="672"/>
    <x v="1"/>
    <n v="25"/>
    <n v="3"/>
    <s v="Technical Degree"/>
    <n v="1"/>
    <x v="647"/>
    <n v="4"/>
    <s v="Male"/>
    <n v="78"/>
    <n v="2"/>
    <n v="3"/>
    <x v="3"/>
    <x v="1"/>
    <s v="Married"/>
    <n v="10903"/>
    <n v="9129"/>
    <n v="3"/>
    <s v="Y"/>
    <x v="1"/>
    <n v="16"/>
    <n v="3"/>
    <n v="1"/>
    <n v="80"/>
    <n v="0"/>
    <n v="16"/>
    <n v="2"/>
    <x v="1"/>
    <n v="13"/>
    <n v="10"/>
    <n v="4"/>
    <n v="8"/>
    <x v="1"/>
    <x v="2"/>
  </r>
  <r>
    <n v="37"/>
    <x v="1"/>
    <s v="Travel_Frequently"/>
    <n v="1231"/>
    <x v="0"/>
    <n v="21"/>
    <n v="2"/>
    <s v="Medical"/>
    <n v="1"/>
    <x v="648"/>
    <n v="3"/>
    <s v="Female"/>
    <n v="54"/>
    <n v="3"/>
    <n v="1"/>
    <x v="6"/>
    <x v="0"/>
    <s v="Married"/>
    <n v="2973"/>
    <n v="21222"/>
    <n v="5"/>
    <s v="Y"/>
    <x v="1"/>
    <n v="15"/>
    <n v="3"/>
    <n v="2"/>
    <n v="80"/>
    <n v="1"/>
    <n v="10"/>
    <n v="3"/>
    <x v="1"/>
    <n v="5"/>
    <n v="4"/>
    <n v="0"/>
    <n v="0"/>
    <x v="1"/>
    <x v="1"/>
  </r>
  <r>
    <n v="53"/>
    <x v="1"/>
    <s v="Travel_Rarely"/>
    <n v="102"/>
    <x v="1"/>
    <n v="23"/>
    <n v="4"/>
    <s v="Life Sciences"/>
    <n v="1"/>
    <x v="649"/>
    <n v="4"/>
    <s v="Female"/>
    <n v="72"/>
    <n v="3"/>
    <n v="4"/>
    <x v="7"/>
    <x v="0"/>
    <s v="Single"/>
    <n v="14275"/>
    <n v="20206"/>
    <n v="6"/>
    <s v="Y"/>
    <x v="1"/>
    <n v="18"/>
    <n v="3"/>
    <n v="3"/>
    <n v="80"/>
    <n v="0"/>
    <n v="33"/>
    <n v="0"/>
    <x v="1"/>
    <n v="12"/>
    <n v="9"/>
    <n v="3"/>
    <n v="8"/>
    <x v="3"/>
    <x v="2"/>
  </r>
  <r>
    <n v="43"/>
    <x v="1"/>
    <s v="Travel_Frequently"/>
    <n v="422"/>
    <x v="1"/>
    <n v="1"/>
    <n v="3"/>
    <s v="Life Sciences"/>
    <n v="1"/>
    <x v="650"/>
    <n v="4"/>
    <s v="Female"/>
    <n v="33"/>
    <n v="3"/>
    <n v="2"/>
    <x v="4"/>
    <x v="0"/>
    <s v="Married"/>
    <n v="5562"/>
    <n v="21782"/>
    <n v="4"/>
    <s v="Y"/>
    <x v="1"/>
    <n v="13"/>
    <n v="3"/>
    <n v="2"/>
    <n v="80"/>
    <n v="1"/>
    <n v="12"/>
    <n v="2"/>
    <x v="2"/>
    <n v="5"/>
    <n v="2"/>
    <n v="2"/>
    <n v="2"/>
    <x v="0"/>
    <x v="0"/>
  </r>
  <r>
    <n v="47"/>
    <x v="1"/>
    <s v="Travel_Rarely"/>
    <n v="249"/>
    <x v="0"/>
    <n v="2"/>
    <n v="2"/>
    <s v="Marketing"/>
    <n v="1"/>
    <x v="651"/>
    <n v="3"/>
    <s v="Female"/>
    <n v="35"/>
    <n v="3"/>
    <n v="2"/>
    <x v="0"/>
    <x v="0"/>
    <s v="Married"/>
    <n v="4537"/>
    <n v="17783"/>
    <n v="0"/>
    <s v="Y"/>
    <x v="0"/>
    <n v="22"/>
    <n v="4"/>
    <n v="1"/>
    <n v="80"/>
    <n v="1"/>
    <n v="8"/>
    <n v="2"/>
    <x v="1"/>
    <n v="7"/>
    <n v="6"/>
    <n v="7"/>
    <n v="7"/>
    <x v="0"/>
    <x v="0"/>
  </r>
  <r>
    <n v="37"/>
    <x v="1"/>
    <s v="Non-Travel"/>
    <n v="1252"/>
    <x v="0"/>
    <n v="19"/>
    <n v="2"/>
    <s v="Medical"/>
    <n v="1"/>
    <x v="652"/>
    <n v="1"/>
    <s v="Male"/>
    <n v="32"/>
    <n v="3"/>
    <n v="3"/>
    <x v="0"/>
    <x v="1"/>
    <s v="Single"/>
    <n v="7642"/>
    <n v="4814"/>
    <n v="1"/>
    <s v="Y"/>
    <x v="0"/>
    <n v="13"/>
    <n v="3"/>
    <n v="4"/>
    <n v="80"/>
    <n v="0"/>
    <n v="10"/>
    <n v="2"/>
    <x v="1"/>
    <n v="10"/>
    <n v="0"/>
    <n v="0"/>
    <n v="9"/>
    <x v="1"/>
    <x v="2"/>
  </r>
  <r>
    <n v="50"/>
    <x v="1"/>
    <s v="Non-Travel"/>
    <n v="881"/>
    <x v="1"/>
    <n v="2"/>
    <n v="4"/>
    <s v="Life Sciences"/>
    <n v="1"/>
    <x v="653"/>
    <n v="1"/>
    <s v="Male"/>
    <n v="98"/>
    <n v="3"/>
    <n v="4"/>
    <x v="5"/>
    <x v="3"/>
    <s v="Divorced"/>
    <n v="17924"/>
    <n v="4544"/>
    <n v="1"/>
    <s v="Y"/>
    <x v="1"/>
    <n v="11"/>
    <n v="3"/>
    <n v="4"/>
    <n v="80"/>
    <n v="1"/>
    <n v="31"/>
    <n v="3"/>
    <x v="1"/>
    <n v="31"/>
    <n v="6"/>
    <n v="14"/>
    <n v="7"/>
    <x v="0"/>
    <x v="2"/>
  </r>
  <r>
    <n v="39"/>
    <x v="1"/>
    <s v="Travel_Rarely"/>
    <n v="1383"/>
    <x v="2"/>
    <n v="2"/>
    <n v="3"/>
    <s v="Life Sciences"/>
    <n v="1"/>
    <x v="654"/>
    <n v="4"/>
    <s v="Female"/>
    <n v="42"/>
    <n v="2"/>
    <n v="2"/>
    <x v="8"/>
    <x v="0"/>
    <s v="Married"/>
    <n v="5204"/>
    <n v="7790"/>
    <n v="8"/>
    <s v="Y"/>
    <x v="1"/>
    <n v="11"/>
    <n v="3"/>
    <n v="3"/>
    <n v="80"/>
    <n v="2"/>
    <n v="13"/>
    <n v="2"/>
    <x v="1"/>
    <n v="5"/>
    <n v="4"/>
    <n v="0"/>
    <n v="4"/>
    <x v="1"/>
    <x v="0"/>
  </r>
  <r>
    <n v="33"/>
    <x v="1"/>
    <s v="Travel_Rarely"/>
    <n v="1075"/>
    <x v="2"/>
    <n v="3"/>
    <n v="2"/>
    <s v="Human Resources"/>
    <n v="1"/>
    <x v="655"/>
    <n v="4"/>
    <s v="Male"/>
    <n v="57"/>
    <n v="3"/>
    <n v="1"/>
    <x v="8"/>
    <x v="1"/>
    <s v="Divorced"/>
    <n v="2277"/>
    <n v="22650"/>
    <n v="3"/>
    <s v="Y"/>
    <x v="0"/>
    <n v="11"/>
    <n v="3"/>
    <n v="3"/>
    <n v="80"/>
    <n v="1"/>
    <n v="7"/>
    <n v="4"/>
    <x v="3"/>
    <n v="4"/>
    <n v="3"/>
    <n v="0"/>
    <n v="3"/>
    <x v="1"/>
    <x v="1"/>
  </r>
  <r>
    <n v="32"/>
    <x v="0"/>
    <s v="Travel_Rarely"/>
    <n v="374"/>
    <x v="1"/>
    <n v="25"/>
    <n v="4"/>
    <s v="Life Sciences"/>
    <n v="1"/>
    <x v="656"/>
    <n v="1"/>
    <s v="Male"/>
    <n v="87"/>
    <n v="3"/>
    <n v="1"/>
    <x v="2"/>
    <x v="0"/>
    <s v="Single"/>
    <n v="2795"/>
    <n v="18016"/>
    <n v="1"/>
    <s v="Y"/>
    <x v="0"/>
    <n v="24"/>
    <n v="4"/>
    <n v="3"/>
    <n v="80"/>
    <n v="0"/>
    <n v="1"/>
    <n v="2"/>
    <x v="0"/>
    <n v="1"/>
    <n v="0"/>
    <n v="0"/>
    <n v="1"/>
    <x v="1"/>
    <x v="1"/>
  </r>
  <r>
    <n v="29"/>
    <x v="1"/>
    <s v="Travel_Rarely"/>
    <n v="1086"/>
    <x v="1"/>
    <n v="7"/>
    <n v="1"/>
    <s v="Medical"/>
    <n v="1"/>
    <x v="657"/>
    <n v="1"/>
    <s v="Female"/>
    <n v="62"/>
    <n v="2"/>
    <n v="1"/>
    <x v="2"/>
    <x v="0"/>
    <s v="Divorced"/>
    <n v="2532"/>
    <n v="6054"/>
    <n v="6"/>
    <s v="Y"/>
    <x v="1"/>
    <n v="14"/>
    <n v="3"/>
    <n v="3"/>
    <n v="80"/>
    <n v="3"/>
    <n v="8"/>
    <n v="5"/>
    <x v="1"/>
    <n v="4"/>
    <n v="3"/>
    <n v="0"/>
    <n v="3"/>
    <x v="2"/>
    <x v="1"/>
  </r>
  <r>
    <n v="44"/>
    <x v="1"/>
    <s v="Travel_Rarely"/>
    <n v="661"/>
    <x v="1"/>
    <n v="9"/>
    <n v="2"/>
    <s v="Life Sciences"/>
    <n v="1"/>
    <x v="658"/>
    <n v="2"/>
    <s v="Male"/>
    <n v="61"/>
    <n v="3"/>
    <n v="1"/>
    <x v="1"/>
    <x v="3"/>
    <s v="Married"/>
    <n v="2559"/>
    <n v="7508"/>
    <n v="1"/>
    <s v="Y"/>
    <x v="0"/>
    <n v="13"/>
    <n v="3"/>
    <n v="4"/>
    <n v="80"/>
    <n v="0"/>
    <n v="8"/>
    <n v="0"/>
    <x v="1"/>
    <n v="8"/>
    <n v="7"/>
    <n v="7"/>
    <n v="1"/>
    <x v="0"/>
    <x v="1"/>
  </r>
  <r>
    <n v="28"/>
    <x v="1"/>
    <s v="Travel_Rarely"/>
    <n v="821"/>
    <x v="0"/>
    <n v="5"/>
    <n v="4"/>
    <s v="Medical"/>
    <n v="1"/>
    <x v="659"/>
    <n v="1"/>
    <s v="Male"/>
    <n v="98"/>
    <n v="3"/>
    <n v="2"/>
    <x v="0"/>
    <x v="0"/>
    <s v="Single"/>
    <n v="4908"/>
    <n v="24252"/>
    <n v="1"/>
    <s v="Y"/>
    <x v="1"/>
    <n v="14"/>
    <n v="3"/>
    <n v="2"/>
    <n v="80"/>
    <n v="0"/>
    <n v="4"/>
    <n v="3"/>
    <x v="1"/>
    <n v="4"/>
    <n v="2"/>
    <n v="0"/>
    <n v="2"/>
    <x v="2"/>
    <x v="0"/>
  </r>
  <r>
    <n v="58"/>
    <x v="0"/>
    <s v="Travel_Frequently"/>
    <n v="781"/>
    <x v="1"/>
    <n v="2"/>
    <n v="1"/>
    <s v="Life Sciences"/>
    <n v="1"/>
    <x v="660"/>
    <n v="4"/>
    <s v="Male"/>
    <n v="57"/>
    <n v="2"/>
    <n v="1"/>
    <x v="2"/>
    <x v="0"/>
    <s v="Divorced"/>
    <n v="2380"/>
    <n v="13384"/>
    <n v="9"/>
    <s v="Y"/>
    <x v="0"/>
    <n v="14"/>
    <n v="3"/>
    <n v="4"/>
    <n v="80"/>
    <n v="1"/>
    <n v="3"/>
    <n v="3"/>
    <x v="2"/>
    <n v="1"/>
    <n v="0"/>
    <n v="0"/>
    <n v="0"/>
    <x v="3"/>
    <x v="1"/>
  </r>
  <r>
    <n v="43"/>
    <x v="1"/>
    <s v="Travel_Rarely"/>
    <n v="177"/>
    <x v="1"/>
    <n v="8"/>
    <n v="3"/>
    <s v="Life Sciences"/>
    <n v="1"/>
    <x v="661"/>
    <n v="1"/>
    <s v="Female"/>
    <n v="55"/>
    <n v="3"/>
    <n v="2"/>
    <x v="3"/>
    <x v="1"/>
    <s v="Divorced"/>
    <n v="4765"/>
    <n v="23814"/>
    <n v="4"/>
    <s v="Y"/>
    <x v="1"/>
    <n v="21"/>
    <n v="4"/>
    <n v="3"/>
    <n v="80"/>
    <n v="1"/>
    <n v="4"/>
    <n v="2"/>
    <x v="3"/>
    <n v="1"/>
    <n v="0"/>
    <n v="0"/>
    <n v="0"/>
    <x v="0"/>
    <x v="0"/>
  </r>
  <r>
    <n v="20"/>
    <x v="0"/>
    <s v="Travel_Rarely"/>
    <n v="500"/>
    <x v="0"/>
    <n v="2"/>
    <n v="3"/>
    <s v="Medical"/>
    <n v="1"/>
    <x v="662"/>
    <n v="3"/>
    <s v="Female"/>
    <n v="49"/>
    <n v="2"/>
    <n v="1"/>
    <x v="6"/>
    <x v="2"/>
    <s v="Single"/>
    <n v="2044"/>
    <n v="22052"/>
    <n v="1"/>
    <s v="Y"/>
    <x v="1"/>
    <n v="13"/>
    <n v="3"/>
    <n v="4"/>
    <n v="80"/>
    <n v="0"/>
    <n v="2"/>
    <n v="3"/>
    <x v="2"/>
    <n v="2"/>
    <n v="2"/>
    <n v="0"/>
    <n v="2"/>
    <x v="2"/>
    <x v="1"/>
  </r>
  <r>
    <n v="21"/>
    <x v="0"/>
    <s v="Travel_Rarely"/>
    <n v="1427"/>
    <x v="1"/>
    <n v="18"/>
    <n v="1"/>
    <s v="Other"/>
    <n v="1"/>
    <x v="663"/>
    <n v="4"/>
    <s v="Female"/>
    <n v="65"/>
    <n v="3"/>
    <n v="1"/>
    <x v="1"/>
    <x v="0"/>
    <s v="Single"/>
    <n v="2693"/>
    <n v="8870"/>
    <n v="1"/>
    <s v="Y"/>
    <x v="1"/>
    <n v="19"/>
    <n v="3"/>
    <n v="1"/>
    <n v="80"/>
    <n v="0"/>
    <n v="1"/>
    <n v="3"/>
    <x v="2"/>
    <n v="1"/>
    <n v="0"/>
    <n v="0"/>
    <n v="0"/>
    <x v="2"/>
    <x v="1"/>
  </r>
  <r>
    <n v="36"/>
    <x v="1"/>
    <s v="Travel_Rarely"/>
    <n v="1425"/>
    <x v="1"/>
    <n v="14"/>
    <n v="1"/>
    <s v="Life Sciences"/>
    <n v="1"/>
    <x v="664"/>
    <n v="3"/>
    <s v="Male"/>
    <n v="68"/>
    <n v="3"/>
    <n v="2"/>
    <x v="4"/>
    <x v="0"/>
    <s v="Married"/>
    <n v="6586"/>
    <n v="4821"/>
    <n v="0"/>
    <s v="Y"/>
    <x v="0"/>
    <n v="17"/>
    <n v="3"/>
    <n v="1"/>
    <n v="80"/>
    <n v="1"/>
    <n v="17"/>
    <n v="2"/>
    <x v="2"/>
    <n v="16"/>
    <n v="8"/>
    <n v="4"/>
    <n v="11"/>
    <x v="1"/>
    <x v="0"/>
  </r>
  <r>
    <n v="47"/>
    <x v="1"/>
    <s v="Travel_Rarely"/>
    <n v="1454"/>
    <x v="0"/>
    <n v="2"/>
    <n v="4"/>
    <s v="Life Sciences"/>
    <n v="1"/>
    <x v="665"/>
    <n v="4"/>
    <s v="Female"/>
    <n v="65"/>
    <n v="2"/>
    <n v="1"/>
    <x v="6"/>
    <x v="0"/>
    <s v="Single"/>
    <n v="3294"/>
    <n v="13137"/>
    <n v="1"/>
    <s v="Y"/>
    <x v="0"/>
    <n v="18"/>
    <n v="3"/>
    <n v="1"/>
    <n v="80"/>
    <n v="0"/>
    <n v="3"/>
    <n v="3"/>
    <x v="2"/>
    <n v="3"/>
    <n v="2"/>
    <n v="1"/>
    <n v="2"/>
    <x v="0"/>
    <x v="1"/>
  </r>
  <r>
    <n v="22"/>
    <x v="0"/>
    <s v="Travel_Rarely"/>
    <n v="617"/>
    <x v="1"/>
    <n v="3"/>
    <n v="1"/>
    <s v="Life Sciences"/>
    <n v="1"/>
    <x v="666"/>
    <n v="2"/>
    <s v="Female"/>
    <n v="34"/>
    <n v="3"/>
    <n v="2"/>
    <x v="3"/>
    <x v="2"/>
    <s v="Married"/>
    <n v="4171"/>
    <n v="10022"/>
    <n v="0"/>
    <s v="Y"/>
    <x v="0"/>
    <n v="19"/>
    <n v="3"/>
    <n v="1"/>
    <n v="80"/>
    <n v="1"/>
    <n v="4"/>
    <n v="3"/>
    <x v="3"/>
    <n v="3"/>
    <n v="2"/>
    <n v="0"/>
    <n v="2"/>
    <x v="2"/>
    <x v="0"/>
  </r>
  <r>
    <n v="41"/>
    <x v="0"/>
    <s v="Travel_Rarely"/>
    <n v="1085"/>
    <x v="1"/>
    <n v="2"/>
    <n v="4"/>
    <s v="Life Sciences"/>
    <n v="1"/>
    <x v="667"/>
    <n v="2"/>
    <s v="Female"/>
    <n v="57"/>
    <n v="1"/>
    <n v="1"/>
    <x v="2"/>
    <x v="0"/>
    <s v="Divorced"/>
    <n v="2778"/>
    <n v="17725"/>
    <n v="4"/>
    <s v="Y"/>
    <x v="0"/>
    <n v="13"/>
    <n v="3"/>
    <n v="3"/>
    <n v="80"/>
    <n v="1"/>
    <n v="10"/>
    <n v="1"/>
    <x v="2"/>
    <n v="7"/>
    <n v="7"/>
    <n v="1"/>
    <n v="0"/>
    <x v="0"/>
    <x v="1"/>
  </r>
  <r>
    <n v="28"/>
    <x v="1"/>
    <s v="Travel_Rarely"/>
    <n v="995"/>
    <x v="1"/>
    <n v="9"/>
    <n v="3"/>
    <s v="Medical"/>
    <n v="1"/>
    <x v="668"/>
    <n v="3"/>
    <s v="Female"/>
    <n v="77"/>
    <n v="3"/>
    <n v="1"/>
    <x v="1"/>
    <x v="2"/>
    <s v="Divorced"/>
    <n v="2377"/>
    <n v="9834"/>
    <n v="5"/>
    <s v="Y"/>
    <x v="1"/>
    <n v="18"/>
    <n v="3"/>
    <n v="2"/>
    <n v="80"/>
    <n v="1"/>
    <n v="6"/>
    <n v="2"/>
    <x v="1"/>
    <n v="2"/>
    <n v="2"/>
    <n v="2"/>
    <n v="2"/>
    <x v="2"/>
    <x v="1"/>
  </r>
  <r>
    <n v="39"/>
    <x v="0"/>
    <s v="Travel_Rarely"/>
    <n v="1122"/>
    <x v="1"/>
    <n v="6"/>
    <n v="3"/>
    <s v="Medical"/>
    <n v="1"/>
    <x v="669"/>
    <n v="4"/>
    <s v="Male"/>
    <n v="70"/>
    <n v="3"/>
    <n v="1"/>
    <x v="2"/>
    <x v="3"/>
    <s v="Married"/>
    <n v="2404"/>
    <n v="4303"/>
    <n v="7"/>
    <s v="Y"/>
    <x v="0"/>
    <n v="21"/>
    <n v="4"/>
    <n v="4"/>
    <n v="80"/>
    <n v="0"/>
    <n v="8"/>
    <n v="2"/>
    <x v="0"/>
    <n v="2"/>
    <n v="2"/>
    <n v="2"/>
    <n v="2"/>
    <x v="1"/>
    <x v="1"/>
  </r>
  <r>
    <n v="27"/>
    <x v="1"/>
    <s v="Travel_Rarely"/>
    <n v="618"/>
    <x v="1"/>
    <n v="4"/>
    <n v="3"/>
    <s v="Life Sciences"/>
    <n v="1"/>
    <x v="670"/>
    <n v="2"/>
    <s v="Female"/>
    <n v="76"/>
    <n v="3"/>
    <n v="1"/>
    <x v="1"/>
    <x v="2"/>
    <s v="Single"/>
    <n v="2318"/>
    <n v="17808"/>
    <n v="1"/>
    <s v="Y"/>
    <x v="1"/>
    <n v="19"/>
    <n v="3"/>
    <n v="3"/>
    <n v="80"/>
    <n v="0"/>
    <n v="1"/>
    <n v="2"/>
    <x v="1"/>
    <n v="1"/>
    <n v="1"/>
    <n v="0"/>
    <n v="0"/>
    <x v="2"/>
    <x v="1"/>
  </r>
  <r>
    <n v="34"/>
    <x v="1"/>
    <s v="Travel_Rarely"/>
    <n v="546"/>
    <x v="1"/>
    <n v="10"/>
    <n v="3"/>
    <s v="Life Sciences"/>
    <n v="1"/>
    <x v="671"/>
    <n v="2"/>
    <s v="Male"/>
    <n v="83"/>
    <n v="3"/>
    <n v="1"/>
    <x v="2"/>
    <x v="1"/>
    <s v="Divorced"/>
    <n v="2008"/>
    <n v="6896"/>
    <n v="1"/>
    <s v="Y"/>
    <x v="1"/>
    <n v="14"/>
    <n v="3"/>
    <n v="2"/>
    <n v="80"/>
    <n v="2"/>
    <n v="1"/>
    <n v="3"/>
    <x v="1"/>
    <n v="1"/>
    <n v="0"/>
    <n v="1"/>
    <n v="0"/>
    <x v="1"/>
    <x v="1"/>
  </r>
  <r>
    <n v="42"/>
    <x v="1"/>
    <s v="Travel_Rarely"/>
    <n v="462"/>
    <x v="0"/>
    <n v="14"/>
    <n v="2"/>
    <s v="Medical"/>
    <n v="1"/>
    <x v="672"/>
    <n v="3"/>
    <s v="Female"/>
    <n v="68"/>
    <n v="2"/>
    <n v="2"/>
    <x v="0"/>
    <x v="2"/>
    <s v="Single"/>
    <n v="6244"/>
    <n v="7824"/>
    <n v="7"/>
    <s v="Y"/>
    <x v="1"/>
    <n v="17"/>
    <n v="3"/>
    <n v="1"/>
    <n v="80"/>
    <n v="0"/>
    <n v="10"/>
    <n v="6"/>
    <x v="1"/>
    <n v="5"/>
    <n v="4"/>
    <n v="0"/>
    <n v="3"/>
    <x v="0"/>
    <x v="0"/>
  </r>
  <r>
    <n v="33"/>
    <x v="1"/>
    <s v="Travel_Rarely"/>
    <n v="1198"/>
    <x v="1"/>
    <n v="1"/>
    <n v="4"/>
    <s v="Other"/>
    <n v="1"/>
    <x v="673"/>
    <n v="3"/>
    <s v="Male"/>
    <n v="100"/>
    <n v="2"/>
    <n v="1"/>
    <x v="1"/>
    <x v="3"/>
    <s v="Single"/>
    <n v="2799"/>
    <n v="3339"/>
    <n v="3"/>
    <s v="Y"/>
    <x v="0"/>
    <n v="11"/>
    <n v="3"/>
    <n v="2"/>
    <n v="80"/>
    <n v="0"/>
    <n v="6"/>
    <n v="1"/>
    <x v="1"/>
    <n v="3"/>
    <n v="2"/>
    <n v="0"/>
    <n v="2"/>
    <x v="1"/>
    <x v="1"/>
  </r>
  <r>
    <n v="58"/>
    <x v="1"/>
    <s v="Travel_Rarely"/>
    <n v="1272"/>
    <x v="1"/>
    <n v="5"/>
    <n v="3"/>
    <s v="Technical Degree"/>
    <n v="1"/>
    <x v="674"/>
    <n v="3"/>
    <s v="Female"/>
    <n v="37"/>
    <n v="2"/>
    <n v="3"/>
    <x v="4"/>
    <x v="1"/>
    <s v="Divorced"/>
    <n v="10552"/>
    <n v="9255"/>
    <n v="2"/>
    <s v="Y"/>
    <x v="0"/>
    <n v="13"/>
    <n v="3"/>
    <n v="4"/>
    <n v="80"/>
    <n v="1"/>
    <n v="24"/>
    <n v="3"/>
    <x v="1"/>
    <n v="6"/>
    <n v="0"/>
    <n v="0"/>
    <n v="4"/>
    <x v="3"/>
    <x v="2"/>
  </r>
  <r>
    <n v="31"/>
    <x v="1"/>
    <s v="Travel_Rarely"/>
    <n v="154"/>
    <x v="0"/>
    <n v="7"/>
    <n v="4"/>
    <s v="Life Sciences"/>
    <n v="1"/>
    <x v="675"/>
    <n v="2"/>
    <s v="Male"/>
    <n v="41"/>
    <n v="2"/>
    <n v="1"/>
    <x v="6"/>
    <x v="2"/>
    <s v="Married"/>
    <n v="2329"/>
    <n v="11737"/>
    <n v="3"/>
    <s v="Y"/>
    <x v="1"/>
    <n v="15"/>
    <n v="3"/>
    <n v="2"/>
    <n v="80"/>
    <n v="0"/>
    <n v="13"/>
    <n v="2"/>
    <x v="3"/>
    <n v="7"/>
    <n v="7"/>
    <n v="5"/>
    <n v="2"/>
    <x v="1"/>
    <x v="1"/>
  </r>
  <r>
    <n v="35"/>
    <x v="1"/>
    <s v="Travel_Rarely"/>
    <n v="1137"/>
    <x v="1"/>
    <n v="21"/>
    <n v="1"/>
    <s v="Life Sciences"/>
    <n v="1"/>
    <x v="676"/>
    <n v="4"/>
    <s v="Female"/>
    <n v="51"/>
    <n v="3"/>
    <n v="2"/>
    <x v="4"/>
    <x v="0"/>
    <s v="Married"/>
    <n v="4014"/>
    <n v="19170"/>
    <n v="1"/>
    <s v="Y"/>
    <x v="0"/>
    <n v="25"/>
    <n v="4"/>
    <n v="4"/>
    <n v="80"/>
    <n v="1"/>
    <n v="10"/>
    <n v="2"/>
    <x v="0"/>
    <n v="10"/>
    <n v="6"/>
    <n v="0"/>
    <n v="7"/>
    <x v="1"/>
    <x v="0"/>
  </r>
  <r>
    <n v="49"/>
    <x v="1"/>
    <s v="Travel_Rarely"/>
    <n v="527"/>
    <x v="1"/>
    <n v="8"/>
    <n v="2"/>
    <s v="Other"/>
    <n v="1"/>
    <x v="677"/>
    <n v="1"/>
    <s v="Female"/>
    <n v="51"/>
    <n v="3"/>
    <n v="3"/>
    <x v="2"/>
    <x v="1"/>
    <s v="Married"/>
    <n v="7403"/>
    <n v="22477"/>
    <n v="4"/>
    <s v="Y"/>
    <x v="1"/>
    <n v="11"/>
    <n v="3"/>
    <n v="3"/>
    <n v="80"/>
    <n v="1"/>
    <n v="29"/>
    <n v="3"/>
    <x v="2"/>
    <n v="26"/>
    <n v="9"/>
    <n v="1"/>
    <n v="7"/>
    <x v="0"/>
    <x v="2"/>
  </r>
  <r>
    <n v="48"/>
    <x v="1"/>
    <s v="Travel_Rarely"/>
    <n v="1469"/>
    <x v="1"/>
    <n v="20"/>
    <n v="4"/>
    <s v="Medical"/>
    <n v="1"/>
    <x v="678"/>
    <n v="4"/>
    <s v="Male"/>
    <n v="51"/>
    <n v="3"/>
    <n v="1"/>
    <x v="1"/>
    <x v="2"/>
    <s v="Married"/>
    <n v="2259"/>
    <n v="5543"/>
    <n v="4"/>
    <s v="Y"/>
    <x v="1"/>
    <n v="17"/>
    <n v="3"/>
    <n v="1"/>
    <n v="80"/>
    <n v="2"/>
    <n v="13"/>
    <n v="2"/>
    <x v="2"/>
    <n v="0"/>
    <n v="0"/>
    <n v="0"/>
    <n v="0"/>
    <x v="0"/>
    <x v="1"/>
  </r>
  <r>
    <n v="31"/>
    <x v="1"/>
    <s v="Non-Travel"/>
    <n v="1188"/>
    <x v="0"/>
    <n v="20"/>
    <n v="2"/>
    <s v="Marketing"/>
    <n v="1"/>
    <x v="679"/>
    <n v="4"/>
    <s v="Female"/>
    <n v="45"/>
    <n v="3"/>
    <n v="2"/>
    <x v="0"/>
    <x v="2"/>
    <s v="Married"/>
    <n v="6932"/>
    <n v="24406"/>
    <n v="1"/>
    <s v="Y"/>
    <x v="1"/>
    <n v="13"/>
    <n v="3"/>
    <n v="4"/>
    <n v="80"/>
    <n v="1"/>
    <n v="9"/>
    <n v="2"/>
    <x v="2"/>
    <n v="9"/>
    <n v="8"/>
    <n v="0"/>
    <n v="0"/>
    <x v="1"/>
    <x v="0"/>
  </r>
  <r>
    <n v="36"/>
    <x v="1"/>
    <s v="Travel_Rarely"/>
    <n v="188"/>
    <x v="1"/>
    <n v="7"/>
    <n v="4"/>
    <s v="Other"/>
    <n v="1"/>
    <x v="680"/>
    <n v="2"/>
    <s v="Male"/>
    <n v="65"/>
    <n v="3"/>
    <n v="1"/>
    <x v="1"/>
    <x v="0"/>
    <s v="Single"/>
    <n v="4678"/>
    <n v="23293"/>
    <n v="2"/>
    <s v="Y"/>
    <x v="1"/>
    <n v="18"/>
    <n v="3"/>
    <n v="3"/>
    <n v="80"/>
    <n v="0"/>
    <n v="8"/>
    <n v="6"/>
    <x v="1"/>
    <n v="6"/>
    <n v="2"/>
    <n v="0"/>
    <n v="1"/>
    <x v="1"/>
    <x v="0"/>
  </r>
  <r>
    <n v="38"/>
    <x v="1"/>
    <s v="Travel_Rarely"/>
    <n v="1333"/>
    <x v="1"/>
    <n v="1"/>
    <n v="3"/>
    <s v="Technical Degree"/>
    <n v="1"/>
    <x v="681"/>
    <n v="4"/>
    <s v="Female"/>
    <n v="80"/>
    <n v="3"/>
    <n v="3"/>
    <x v="7"/>
    <x v="3"/>
    <s v="Married"/>
    <n v="13582"/>
    <n v="16292"/>
    <n v="1"/>
    <s v="Y"/>
    <x v="1"/>
    <n v="13"/>
    <n v="3"/>
    <n v="2"/>
    <n v="80"/>
    <n v="1"/>
    <n v="15"/>
    <n v="3"/>
    <x v="1"/>
    <n v="15"/>
    <n v="12"/>
    <n v="5"/>
    <n v="11"/>
    <x v="1"/>
    <x v="2"/>
  </r>
  <r>
    <n v="32"/>
    <x v="1"/>
    <s v="Non-Travel"/>
    <n v="1184"/>
    <x v="1"/>
    <n v="1"/>
    <n v="3"/>
    <s v="Life Sciences"/>
    <n v="1"/>
    <x v="682"/>
    <n v="3"/>
    <s v="Female"/>
    <n v="70"/>
    <n v="2"/>
    <n v="1"/>
    <x v="2"/>
    <x v="1"/>
    <s v="Married"/>
    <n v="2332"/>
    <n v="3974"/>
    <n v="6"/>
    <s v="Y"/>
    <x v="1"/>
    <n v="20"/>
    <n v="4"/>
    <n v="3"/>
    <n v="80"/>
    <n v="0"/>
    <n v="5"/>
    <n v="3"/>
    <x v="1"/>
    <n v="3"/>
    <n v="0"/>
    <n v="0"/>
    <n v="2"/>
    <x v="1"/>
    <x v="1"/>
  </r>
  <r>
    <n v="25"/>
    <x v="0"/>
    <s v="Travel_Rarely"/>
    <n v="867"/>
    <x v="0"/>
    <n v="19"/>
    <n v="2"/>
    <s v="Marketing"/>
    <n v="1"/>
    <x v="683"/>
    <n v="3"/>
    <s v="Male"/>
    <n v="36"/>
    <n v="2"/>
    <n v="1"/>
    <x v="6"/>
    <x v="1"/>
    <s v="Married"/>
    <n v="2413"/>
    <n v="18798"/>
    <n v="1"/>
    <s v="Y"/>
    <x v="0"/>
    <n v="18"/>
    <n v="3"/>
    <n v="3"/>
    <n v="80"/>
    <n v="3"/>
    <n v="1"/>
    <n v="2"/>
    <x v="1"/>
    <n v="1"/>
    <n v="0"/>
    <n v="0"/>
    <n v="0"/>
    <x v="2"/>
    <x v="1"/>
  </r>
  <r>
    <n v="40"/>
    <x v="1"/>
    <s v="Travel_Rarely"/>
    <n v="658"/>
    <x v="0"/>
    <n v="10"/>
    <n v="4"/>
    <s v="Marketing"/>
    <n v="1"/>
    <x v="684"/>
    <n v="1"/>
    <s v="Male"/>
    <n v="67"/>
    <n v="2"/>
    <n v="3"/>
    <x v="0"/>
    <x v="1"/>
    <s v="Divorced"/>
    <n v="9705"/>
    <n v="20652"/>
    <n v="2"/>
    <s v="Y"/>
    <x v="1"/>
    <n v="12"/>
    <n v="3"/>
    <n v="2"/>
    <n v="80"/>
    <n v="1"/>
    <n v="11"/>
    <n v="2"/>
    <x v="2"/>
    <n v="1"/>
    <n v="0"/>
    <n v="0"/>
    <n v="0"/>
    <x v="1"/>
    <x v="2"/>
  </r>
  <r>
    <n v="26"/>
    <x v="1"/>
    <s v="Travel_Frequently"/>
    <n v="1283"/>
    <x v="0"/>
    <n v="1"/>
    <n v="3"/>
    <s v="Medical"/>
    <n v="1"/>
    <x v="685"/>
    <n v="3"/>
    <s v="Male"/>
    <n v="52"/>
    <n v="2"/>
    <n v="2"/>
    <x v="0"/>
    <x v="3"/>
    <s v="Single"/>
    <n v="4294"/>
    <n v="11148"/>
    <n v="1"/>
    <s v="Y"/>
    <x v="1"/>
    <n v="12"/>
    <n v="3"/>
    <n v="2"/>
    <n v="80"/>
    <n v="0"/>
    <n v="7"/>
    <n v="2"/>
    <x v="1"/>
    <n v="7"/>
    <n v="7"/>
    <n v="0"/>
    <n v="7"/>
    <x v="2"/>
    <x v="0"/>
  </r>
  <r>
    <n v="41"/>
    <x v="1"/>
    <s v="Travel_Rarely"/>
    <n v="263"/>
    <x v="1"/>
    <n v="6"/>
    <n v="3"/>
    <s v="Medical"/>
    <n v="1"/>
    <x v="686"/>
    <n v="4"/>
    <s v="Male"/>
    <n v="59"/>
    <n v="3"/>
    <n v="1"/>
    <x v="2"/>
    <x v="3"/>
    <s v="Single"/>
    <n v="4721"/>
    <n v="3119"/>
    <n v="2"/>
    <s v="Y"/>
    <x v="0"/>
    <n v="13"/>
    <n v="3"/>
    <n v="3"/>
    <n v="80"/>
    <n v="0"/>
    <n v="20"/>
    <n v="3"/>
    <x v="1"/>
    <n v="18"/>
    <n v="13"/>
    <n v="2"/>
    <n v="17"/>
    <x v="0"/>
    <x v="0"/>
  </r>
  <r>
    <n v="36"/>
    <x v="1"/>
    <s v="Travel_Rarely"/>
    <n v="938"/>
    <x v="1"/>
    <n v="2"/>
    <n v="4"/>
    <s v="Medical"/>
    <n v="1"/>
    <x v="687"/>
    <n v="3"/>
    <s v="Male"/>
    <n v="79"/>
    <n v="3"/>
    <n v="1"/>
    <x v="2"/>
    <x v="2"/>
    <s v="Single"/>
    <n v="2519"/>
    <n v="12287"/>
    <n v="4"/>
    <s v="Y"/>
    <x v="1"/>
    <n v="21"/>
    <n v="4"/>
    <n v="3"/>
    <n v="80"/>
    <n v="0"/>
    <n v="16"/>
    <n v="6"/>
    <x v="1"/>
    <n v="11"/>
    <n v="8"/>
    <n v="3"/>
    <n v="9"/>
    <x v="1"/>
    <x v="1"/>
  </r>
  <r>
    <n v="19"/>
    <x v="0"/>
    <s v="Travel_Rarely"/>
    <n v="419"/>
    <x v="0"/>
    <n v="21"/>
    <n v="3"/>
    <s v="Other"/>
    <n v="1"/>
    <x v="688"/>
    <n v="4"/>
    <s v="Male"/>
    <n v="37"/>
    <n v="2"/>
    <n v="1"/>
    <x v="6"/>
    <x v="1"/>
    <s v="Single"/>
    <n v="2121"/>
    <n v="9947"/>
    <n v="1"/>
    <s v="Y"/>
    <x v="0"/>
    <n v="13"/>
    <n v="3"/>
    <n v="2"/>
    <n v="80"/>
    <n v="0"/>
    <n v="1"/>
    <n v="3"/>
    <x v="3"/>
    <n v="1"/>
    <n v="0"/>
    <n v="0"/>
    <n v="0"/>
    <x v="2"/>
    <x v="1"/>
  </r>
  <r>
    <n v="20"/>
    <x v="0"/>
    <s v="Travel_Rarely"/>
    <n v="129"/>
    <x v="1"/>
    <n v="4"/>
    <n v="3"/>
    <s v="Technical Degree"/>
    <n v="1"/>
    <x v="689"/>
    <n v="1"/>
    <s v="Male"/>
    <n v="84"/>
    <n v="3"/>
    <n v="1"/>
    <x v="2"/>
    <x v="3"/>
    <s v="Single"/>
    <n v="2973"/>
    <n v="13008"/>
    <n v="1"/>
    <s v="Y"/>
    <x v="1"/>
    <n v="19"/>
    <n v="3"/>
    <n v="2"/>
    <n v="80"/>
    <n v="0"/>
    <n v="1"/>
    <n v="2"/>
    <x v="1"/>
    <n v="1"/>
    <n v="0"/>
    <n v="0"/>
    <n v="0"/>
    <x v="2"/>
    <x v="1"/>
  </r>
  <r>
    <n v="31"/>
    <x v="1"/>
    <s v="Travel_Rarely"/>
    <n v="616"/>
    <x v="1"/>
    <n v="12"/>
    <n v="3"/>
    <s v="Medical"/>
    <n v="1"/>
    <x v="690"/>
    <n v="4"/>
    <s v="Female"/>
    <n v="41"/>
    <n v="3"/>
    <n v="2"/>
    <x v="4"/>
    <x v="0"/>
    <s v="Married"/>
    <n v="5855"/>
    <n v="17369"/>
    <n v="0"/>
    <s v="Y"/>
    <x v="0"/>
    <n v="11"/>
    <n v="3"/>
    <n v="3"/>
    <n v="80"/>
    <n v="2"/>
    <n v="10"/>
    <n v="2"/>
    <x v="0"/>
    <n v="9"/>
    <n v="7"/>
    <n v="8"/>
    <n v="5"/>
    <x v="1"/>
    <x v="0"/>
  </r>
  <r>
    <n v="40"/>
    <x v="1"/>
    <s v="Travel_Frequently"/>
    <n v="1469"/>
    <x v="1"/>
    <n v="9"/>
    <n v="4"/>
    <s v="Medical"/>
    <n v="1"/>
    <x v="691"/>
    <n v="4"/>
    <s v="Male"/>
    <n v="35"/>
    <n v="3"/>
    <n v="1"/>
    <x v="1"/>
    <x v="1"/>
    <s v="Divorced"/>
    <n v="3617"/>
    <n v="25063"/>
    <n v="8"/>
    <s v="Y"/>
    <x v="0"/>
    <n v="14"/>
    <n v="3"/>
    <n v="4"/>
    <n v="80"/>
    <n v="1"/>
    <n v="3"/>
    <n v="2"/>
    <x v="1"/>
    <n v="1"/>
    <n v="1"/>
    <n v="0"/>
    <n v="0"/>
    <x v="1"/>
    <x v="1"/>
  </r>
  <r>
    <n v="32"/>
    <x v="1"/>
    <s v="Travel_Rarely"/>
    <n v="498"/>
    <x v="1"/>
    <n v="3"/>
    <n v="4"/>
    <s v="Medical"/>
    <n v="1"/>
    <x v="692"/>
    <n v="3"/>
    <s v="Female"/>
    <n v="93"/>
    <n v="3"/>
    <n v="2"/>
    <x v="3"/>
    <x v="3"/>
    <s v="Married"/>
    <n v="6725"/>
    <n v="13554"/>
    <n v="1"/>
    <s v="Y"/>
    <x v="1"/>
    <n v="12"/>
    <n v="3"/>
    <n v="3"/>
    <n v="80"/>
    <n v="1"/>
    <n v="8"/>
    <n v="2"/>
    <x v="3"/>
    <n v="8"/>
    <n v="7"/>
    <n v="6"/>
    <n v="3"/>
    <x v="1"/>
    <x v="0"/>
  </r>
  <r>
    <n v="36"/>
    <x v="0"/>
    <s v="Travel_Rarely"/>
    <n v="530"/>
    <x v="0"/>
    <n v="3"/>
    <n v="1"/>
    <s v="Life Sciences"/>
    <n v="1"/>
    <x v="693"/>
    <n v="3"/>
    <s v="Male"/>
    <n v="51"/>
    <n v="2"/>
    <n v="3"/>
    <x v="0"/>
    <x v="0"/>
    <s v="Married"/>
    <n v="10325"/>
    <n v="5518"/>
    <n v="1"/>
    <s v="Y"/>
    <x v="0"/>
    <n v="11"/>
    <n v="3"/>
    <n v="1"/>
    <n v="80"/>
    <n v="1"/>
    <n v="16"/>
    <n v="6"/>
    <x v="1"/>
    <n v="16"/>
    <n v="7"/>
    <n v="3"/>
    <n v="7"/>
    <x v="1"/>
    <x v="2"/>
  </r>
  <r>
    <n v="33"/>
    <x v="1"/>
    <s v="Travel_Rarely"/>
    <n v="1069"/>
    <x v="1"/>
    <n v="1"/>
    <n v="3"/>
    <s v="Life Sciences"/>
    <n v="1"/>
    <x v="694"/>
    <n v="2"/>
    <s v="Female"/>
    <n v="42"/>
    <n v="2"/>
    <n v="2"/>
    <x v="4"/>
    <x v="0"/>
    <s v="Single"/>
    <n v="6949"/>
    <n v="12291"/>
    <n v="0"/>
    <s v="Y"/>
    <x v="1"/>
    <n v="14"/>
    <n v="3"/>
    <n v="1"/>
    <n v="80"/>
    <n v="0"/>
    <n v="6"/>
    <n v="3"/>
    <x v="1"/>
    <n v="5"/>
    <n v="0"/>
    <n v="1"/>
    <n v="4"/>
    <x v="1"/>
    <x v="0"/>
  </r>
  <r>
    <n v="37"/>
    <x v="0"/>
    <s v="Travel_Rarely"/>
    <n v="625"/>
    <x v="0"/>
    <n v="1"/>
    <n v="4"/>
    <s v="Life Sciences"/>
    <n v="1"/>
    <x v="695"/>
    <n v="1"/>
    <s v="Male"/>
    <n v="46"/>
    <n v="2"/>
    <n v="3"/>
    <x v="0"/>
    <x v="2"/>
    <s v="Married"/>
    <n v="10609"/>
    <n v="14922"/>
    <n v="5"/>
    <s v="Y"/>
    <x v="1"/>
    <n v="11"/>
    <n v="3"/>
    <n v="3"/>
    <n v="80"/>
    <n v="0"/>
    <n v="17"/>
    <n v="2"/>
    <x v="0"/>
    <n v="14"/>
    <n v="1"/>
    <n v="11"/>
    <n v="7"/>
    <x v="1"/>
    <x v="2"/>
  </r>
  <r>
    <n v="45"/>
    <x v="1"/>
    <s v="Non-Travel"/>
    <n v="805"/>
    <x v="1"/>
    <n v="4"/>
    <n v="2"/>
    <s v="Life Sciences"/>
    <n v="1"/>
    <x v="696"/>
    <n v="3"/>
    <s v="Male"/>
    <n v="57"/>
    <n v="3"/>
    <n v="2"/>
    <x v="2"/>
    <x v="1"/>
    <s v="Married"/>
    <n v="4447"/>
    <n v="23163"/>
    <n v="1"/>
    <s v="Y"/>
    <x v="1"/>
    <n v="12"/>
    <n v="3"/>
    <n v="2"/>
    <n v="80"/>
    <n v="0"/>
    <n v="9"/>
    <n v="5"/>
    <x v="2"/>
    <n v="9"/>
    <n v="7"/>
    <n v="0"/>
    <n v="8"/>
    <x v="0"/>
    <x v="0"/>
  </r>
  <r>
    <n v="29"/>
    <x v="1"/>
    <s v="Travel_Frequently"/>
    <n v="1404"/>
    <x v="0"/>
    <n v="20"/>
    <n v="3"/>
    <s v="Technical Degree"/>
    <n v="1"/>
    <x v="697"/>
    <n v="3"/>
    <s v="Female"/>
    <n v="84"/>
    <n v="3"/>
    <n v="1"/>
    <x v="6"/>
    <x v="0"/>
    <s v="Married"/>
    <n v="2157"/>
    <n v="18203"/>
    <n v="1"/>
    <s v="Y"/>
    <x v="1"/>
    <n v="15"/>
    <n v="3"/>
    <n v="2"/>
    <n v="80"/>
    <n v="1"/>
    <n v="3"/>
    <n v="5"/>
    <x v="1"/>
    <n v="3"/>
    <n v="1"/>
    <n v="0"/>
    <n v="2"/>
    <x v="2"/>
    <x v="1"/>
  </r>
  <r>
    <n v="35"/>
    <x v="1"/>
    <s v="Travel_Rarely"/>
    <n v="1219"/>
    <x v="0"/>
    <n v="18"/>
    <n v="3"/>
    <s v="Medical"/>
    <n v="1"/>
    <x v="698"/>
    <n v="3"/>
    <s v="Female"/>
    <n v="86"/>
    <n v="3"/>
    <n v="2"/>
    <x v="0"/>
    <x v="2"/>
    <s v="Married"/>
    <n v="4601"/>
    <n v="6179"/>
    <n v="1"/>
    <s v="Y"/>
    <x v="1"/>
    <n v="16"/>
    <n v="3"/>
    <n v="2"/>
    <n v="80"/>
    <n v="0"/>
    <n v="5"/>
    <n v="3"/>
    <x v="1"/>
    <n v="5"/>
    <n v="2"/>
    <n v="1"/>
    <n v="0"/>
    <x v="1"/>
    <x v="0"/>
  </r>
  <r>
    <n v="52"/>
    <x v="1"/>
    <s v="Travel_Rarely"/>
    <n v="1053"/>
    <x v="1"/>
    <n v="1"/>
    <n v="2"/>
    <s v="Life Sciences"/>
    <n v="1"/>
    <x v="699"/>
    <n v="4"/>
    <s v="Male"/>
    <n v="70"/>
    <n v="3"/>
    <n v="4"/>
    <x v="5"/>
    <x v="0"/>
    <s v="Married"/>
    <n v="17099"/>
    <n v="13829"/>
    <n v="2"/>
    <s v="Y"/>
    <x v="1"/>
    <n v="15"/>
    <n v="3"/>
    <n v="2"/>
    <n v="80"/>
    <n v="1"/>
    <n v="26"/>
    <n v="2"/>
    <x v="2"/>
    <n v="9"/>
    <n v="8"/>
    <n v="7"/>
    <n v="8"/>
    <x v="3"/>
    <x v="2"/>
  </r>
  <r>
    <n v="58"/>
    <x v="0"/>
    <s v="Travel_Rarely"/>
    <n v="289"/>
    <x v="1"/>
    <n v="2"/>
    <n v="3"/>
    <s v="Technical Degree"/>
    <n v="1"/>
    <x v="700"/>
    <n v="4"/>
    <s v="Male"/>
    <n v="51"/>
    <n v="3"/>
    <n v="1"/>
    <x v="1"/>
    <x v="2"/>
    <s v="Single"/>
    <n v="2479"/>
    <n v="26227"/>
    <n v="4"/>
    <s v="Y"/>
    <x v="1"/>
    <n v="24"/>
    <n v="4"/>
    <n v="1"/>
    <n v="80"/>
    <n v="0"/>
    <n v="7"/>
    <n v="4"/>
    <x v="1"/>
    <n v="1"/>
    <n v="0"/>
    <n v="0"/>
    <n v="0"/>
    <x v="3"/>
    <x v="1"/>
  </r>
  <r>
    <n v="53"/>
    <x v="1"/>
    <s v="Travel_Rarely"/>
    <n v="1376"/>
    <x v="0"/>
    <n v="2"/>
    <n v="2"/>
    <s v="Medical"/>
    <n v="1"/>
    <x v="701"/>
    <n v="3"/>
    <s v="Male"/>
    <n v="45"/>
    <n v="3"/>
    <n v="4"/>
    <x v="5"/>
    <x v="2"/>
    <s v="Divorced"/>
    <n v="14852"/>
    <n v="13938"/>
    <n v="6"/>
    <s v="Y"/>
    <x v="1"/>
    <n v="13"/>
    <n v="3"/>
    <n v="3"/>
    <n v="80"/>
    <n v="1"/>
    <n v="22"/>
    <n v="3"/>
    <x v="3"/>
    <n v="17"/>
    <n v="13"/>
    <n v="15"/>
    <n v="2"/>
    <x v="3"/>
    <x v="2"/>
  </r>
  <r>
    <n v="30"/>
    <x v="1"/>
    <s v="Travel_Rarely"/>
    <n v="231"/>
    <x v="0"/>
    <n v="8"/>
    <n v="2"/>
    <s v="Other"/>
    <n v="1"/>
    <x v="702"/>
    <n v="3"/>
    <s v="Male"/>
    <n v="62"/>
    <n v="3"/>
    <n v="3"/>
    <x v="0"/>
    <x v="2"/>
    <s v="Divorced"/>
    <n v="7264"/>
    <n v="9977"/>
    <n v="5"/>
    <s v="Y"/>
    <x v="1"/>
    <n v="11"/>
    <n v="3"/>
    <n v="1"/>
    <n v="80"/>
    <n v="1"/>
    <n v="10"/>
    <n v="2"/>
    <x v="3"/>
    <n v="8"/>
    <n v="4"/>
    <n v="7"/>
    <n v="7"/>
    <x v="1"/>
    <x v="2"/>
  </r>
  <r>
    <n v="38"/>
    <x v="1"/>
    <s v="Non-Travel"/>
    <n v="152"/>
    <x v="0"/>
    <n v="10"/>
    <n v="3"/>
    <s v="Technical Degree"/>
    <n v="1"/>
    <x v="703"/>
    <n v="3"/>
    <s v="Female"/>
    <n v="85"/>
    <n v="3"/>
    <n v="2"/>
    <x v="0"/>
    <x v="0"/>
    <s v="Single"/>
    <n v="5666"/>
    <n v="19899"/>
    <n v="1"/>
    <s v="Y"/>
    <x v="0"/>
    <n v="13"/>
    <n v="3"/>
    <n v="2"/>
    <n v="80"/>
    <n v="0"/>
    <n v="6"/>
    <n v="1"/>
    <x v="1"/>
    <n v="5"/>
    <n v="3"/>
    <n v="1"/>
    <n v="3"/>
    <x v="1"/>
    <x v="0"/>
  </r>
  <r>
    <n v="35"/>
    <x v="1"/>
    <s v="Travel_Rarely"/>
    <n v="882"/>
    <x v="0"/>
    <n v="3"/>
    <n v="4"/>
    <s v="Life Sciences"/>
    <n v="1"/>
    <x v="704"/>
    <n v="4"/>
    <s v="Male"/>
    <n v="92"/>
    <n v="3"/>
    <n v="3"/>
    <x v="0"/>
    <x v="0"/>
    <s v="Divorced"/>
    <n v="7823"/>
    <n v="6812"/>
    <n v="6"/>
    <s v="Y"/>
    <x v="1"/>
    <n v="13"/>
    <n v="3"/>
    <n v="2"/>
    <n v="80"/>
    <n v="1"/>
    <n v="12"/>
    <n v="2"/>
    <x v="1"/>
    <n v="10"/>
    <n v="9"/>
    <n v="0"/>
    <n v="8"/>
    <x v="1"/>
    <x v="2"/>
  </r>
  <r>
    <n v="39"/>
    <x v="1"/>
    <s v="Travel_Rarely"/>
    <n v="903"/>
    <x v="0"/>
    <n v="2"/>
    <n v="5"/>
    <s v="Life Sciences"/>
    <n v="1"/>
    <x v="705"/>
    <n v="1"/>
    <s v="Male"/>
    <n v="41"/>
    <n v="4"/>
    <n v="3"/>
    <x v="0"/>
    <x v="2"/>
    <s v="Single"/>
    <n v="7880"/>
    <n v="2560"/>
    <n v="0"/>
    <s v="Y"/>
    <x v="1"/>
    <n v="18"/>
    <n v="3"/>
    <n v="4"/>
    <n v="80"/>
    <n v="0"/>
    <n v="9"/>
    <n v="3"/>
    <x v="1"/>
    <n v="8"/>
    <n v="7"/>
    <n v="0"/>
    <n v="7"/>
    <x v="1"/>
    <x v="2"/>
  </r>
  <r>
    <n v="40"/>
    <x v="0"/>
    <s v="Non-Travel"/>
    <n v="1479"/>
    <x v="0"/>
    <n v="24"/>
    <n v="3"/>
    <s v="Life Sciences"/>
    <n v="1"/>
    <x v="706"/>
    <n v="2"/>
    <s v="Female"/>
    <n v="100"/>
    <n v="4"/>
    <n v="4"/>
    <x v="0"/>
    <x v="1"/>
    <s v="Single"/>
    <n v="13194"/>
    <n v="17071"/>
    <n v="4"/>
    <s v="Y"/>
    <x v="0"/>
    <n v="16"/>
    <n v="3"/>
    <n v="4"/>
    <n v="80"/>
    <n v="0"/>
    <n v="22"/>
    <n v="2"/>
    <x v="2"/>
    <n v="1"/>
    <n v="0"/>
    <n v="0"/>
    <n v="0"/>
    <x v="1"/>
    <x v="2"/>
  </r>
  <r>
    <n v="47"/>
    <x v="1"/>
    <s v="Travel_Frequently"/>
    <n v="1379"/>
    <x v="1"/>
    <n v="16"/>
    <n v="4"/>
    <s v="Medical"/>
    <n v="1"/>
    <x v="707"/>
    <n v="3"/>
    <s v="Male"/>
    <n v="64"/>
    <n v="4"/>
    <n v="2"/>
    <x v="3"/>
    <x v="2"/>
    <s v="Divorced"/>
    <n v="5067"/>
    <n v="6759"/>
    <n v="1"/>
    <s v="Y"/>
    <x v="0"/>
    <n v="19"/>
    <n v="3"/>
    <n v="3"/>
    <n v="80"/>
    <n v="0"/>
    <n v="20"/>
    <n v="3"/>
    <x v="3"/>
    <n v="19"/>
    <n v="10"/>
    <n v="2"/>
    <n v="7"/>
    <x v="0"/>
    <x v="0"/>
  </r>
  <r>
    <n v="36"/>
    <x v="1"/>
    <s v="Non-Travel"/>
    <n v="1229"/>
    <x v="0"/>
    <n v="8"/>
    <n v="4"/>
    <s v="Technical Degree"/>
    <n v="1"/>
    <x v="708"/>
    <n v="1"/>
    <s v="Male"/>
    <n v="84"/>
    <n v="3"/>
    <n v="2"/>
    <x v="0"/>
    <x v="0"/>
    <s v="Divorced"/>
    <n v="5079"/>
    <n v="25952"/>
    <n v="4"/>
    <s v="Y"/>
    <x v="1"/>
    <n v="13"/>
    <n v="3"/>
    <n v="4"/>
    <n v="80"/>
    <n v="2"/>
    <n v="12"/>
    <n v="3"/>
    <x v="1"/>
    <n v="7"/>
    <n v="7"/>
    <n v="0"/>
    <n v="7"/>
    <x v="1"/>
    <x v="0"/>
  </r>
  <r>
    <n v="31"/>
    <x v="0"/>
    <s v="Non-Travel"/>
    <n v="335"/>
    <x v="1"/>
    <n v="9"/>
    <n v="2"/>
    <s v="Medical"/>
    <n v="1"/>
    <x v="709"/>
    <n v="3"/>
    <s v="Male"/>
    <n v="46"/>
    <n v="2"/>
    <n v="1"/>
    <x v="1"/>
    <x v="3"/>
    <s v="Single"/>
    <n v="2321"/>
    <n v="10322"/>
    <n v="0"/>
    <s v="Y"/>
    <x v="0"/>
    <n v="22"/>
    <n v="4"/>
    <n v="1"/>
    <n v="80"/>
    <n v="0"/>
    <n v="4"/>
    <n v="0"/>
    <x v="1"/>
    <n v="3"/>
    <n v="2"/>
    <n v="1"/>
    <n v="2"/>
    <x v="1"/>
    <x v="1"/>
  </r>
  <r>
    <n v="33"/>
    <x v="1"/>
    <s v="Non-Travel"/>
    <n v="722"/>
    <x v="0"/>
    <n v="17"/>
    <n v="3"/>
    <s v="Life Sciences"/>
    <n v="1"/>
    <x v="710"/>
    <n v="4"/>
    <s v="Male"/>
    <n v="38"/>
    <n v="3"/>
    <n v="4"/>
    <x v="5"/>
    <x v="2"/>
    <s v="Single"/>
    <n v="17444"/>
    <n v="20489"/>
    <n v="1"/>
    <s v="Y"/>
    <x v="1"/>
    <n v="11"/>
    <n v="3"/>
    <n v="4"/>
    <n v="80"/>
    <n v="0"/>
    <n v="10"/>
    <n v="2"/>
    <x v="1"/>
    <n v="10"/>
    <n v="8"/>
    <n v="6"/>
    <n v="0"/>
    <x v="1"/>
    <x v="2"/>
  </r>
  <r>
    <n v="29"/>
    <x v="0"/>
    <s v="Travel_Rarely"/>
    <n v="906"/>
    <x v="1"/>
    <n v="10"/>
    <n v="3"/>
    <s v="Life Sciences"/>
    <n v="1"/>
    <x v="711"/>
    <n v="4"/>
    <s v="Female"/>
    <n v="92"/>
    <n v="2"/>
    <n v="1"/>
    <x v="1"/>
    <x v="3"/>
    <s v="Single"/>
    <n v="2404"/>
    <n v="11479"/>
    <n v="6"/>
    <s v="Y"/>
    <x v="0"/>
    <n v="20"/>
    <n v="4"/>
    <n v="3"/>
    <n v="80"/>
    <n v="0"/>
    <n v="3"/>
    <n v="5"/>
    <x v="1"/>
    <n v="0"/>
    <n v="0"/>
    <n v="0"/>
    <n v="0"/>
    <x v="2"/>
    <x v="1"/>
  </r>
  <r>
    <n v="33"/>
    <x v="1"/>
    <s v="Travel_Rarely"/>
    <n v="461"/>
    <x v="1"/>
    <n v="13"/>
    <n v="1"/>
    <s v="Life Sciences"/>
    <n v="1"/>
    <x v="712"/>
    <n v="2"/>
    <s v="Female"/>
    <n v="53"/>
    <n v="3"/>
    <n v="1"/>
    <x v="1"/>
    <x v="0"/>
    <s v="Single"/>
    <n v="3452"/>
    <n v="17241"/>
    <n v="3"/>
    <s v="Y"/>
    <x v="1"/>
    <n v="18"/>
    <n v="3"/>
    <n v="1"/>
    <n v="80"/>
    <n v="0"/>
    <n v="5"/>
    <n v="4"/>
    <x v="1"/>
    <n v="3"/>
    <n v="2"/>
    <n v="0"/>
    <n v="2"/>
    <x v="1"/>
    <x v="1"/>
  </r>
  <r>
    <n v="45"/>
    <x v="1"/>
    <s v="Travel_Rarely"/>
    <n v="974"/>
    <x v="1"/>
    <n v="1"/>
    <n v="4"/>
    <s v="Medical"/>
    <n v="1"/>
    <x v="713"/>
    <n v="4"/>
    <s v="Female"/>
    <n v="91"/>
    <n v="3"/>
    <n v="1"/>
    <x v="2"/>
    <x v="0"/>
    <s v="Divorced"/>
    <n v="2270"/>
    <n v="11005"/>
    <n v="3"/>
    <s v="Y"/>
    <x v="1"/>
    <n v="14"/>
    <n v="3"/>
    <n v="4"/>
    <n v="80"/>
    <n v="2"/>
    <n v="8"/>
    <n v="2"/>
    <x v="1"/>
    <n v="5"/>
    <n v="3"/>
    <n v="0"/>
    <n v="2"/>
    <x v="0"/>
    <x v="1"/>
  </r>
  <r>
    <n v="50"/>
    <x v="1"/>
    <s v="Travel_Rarely"/>
    <n v="1126"/>
    <x v="1"/>
    <n v="1"/>
    <n v="2"/>
    <s v="Medical"/>
    <n v="1"/>
    <x v="714"/>
    <n v="4"/>
    <s v="Male"/>
    <n v="66"/>
    <n v="3"/>
    <n v="4"/>
    <x v="7"/>
    <x v="0"/>
    <s v="Divorced"/>
    <n v="17399"/>
    <n v="6615"/>
    <n v="9"/>
    <s v="Y"/>
    <x v="1"/>
    <n v="22"/>
    <n v="4"/>
    <n v="3"/>
    <n v="80"/>
    <n v="1"/>
    <n v="32"/>
    <n v="1"/>
    <x v="2"/>
    <n v="5"/>
    <n v="4"/>
    <n v="1"/>
    <n v="3"/>
    <x v="0"/>
    <x v="2"/>
  </r>
  <r>
    <n v="33"/>
    <x v="1"/>
    <s v="Travel_Frequently"/>
    <n v="827"/>
    <x v="1"/>
    <n v="1"/>
    <n v="4"/>
    <s v="Other"/>
    <n v="1"/>
    <x v="715"/>
    <n v="3"/>
    <s v="Female"/>
    <n v="84"/>
    <n v="4"/>
    <n v="2"/>
    <x v="4"/>
    <x v="1"/>
    <s v="Married"/>
    <n v="5488"/>
    <n v="20161"/>
    <n v="1"/>
    <s v="Y"/>
    <x v="0"/>
    <n v="13"/>
    <n v="3"/>
    <n v="1"/>
    <n v="80"/>
    <n v="1"/>
    <n v="6"/>
    <n v="2"/>
    <x v="1"/>
    <n v="6"/>
    <n v="5"/>
    <n v="1"/>
    <n v="2"/>
    <x v="1"/>
    <x v="0"/>
  </r>
  <r>
    <n v="41"/>
    <x v="1"/>
    <s v="Travel_Frequently"/>
    <n v="840"/>
    <x v="1"/>
    <n v="9"/>
    <n v="3"/>
    <s v="Medical"/>
    <n v="1"/>
    <x v="716"/>
    <n v="1"/>
    <s v="Male"/>
    <n v="64"/>
    <n v="3"/>
    <n v="5"/>
    <x v="7"/>
    <x v="2"/>
    <s v="Divorced"/>
    <n v="19419"/>
    <n v="3735"/>
    <n v="2"/>
    <s v="Y"/>
    <x v="1"/>
    <n v="17"/>
    <n v="3"/>
    <n v="2"/>
    <n v="80"/>
    <n v="1"/>
    <n v="21"/>
    <n v="2"/>
    <x v="3"/>
    <n v="18"/>
    <n v="16"/>
    <n v="0"/>
    <n v="11"/>
    <x v="0"/>
    <x v="2"/>
  </r>
  <r>
    <n v="27"/>
    <x v="1"/>
    <s v="Travel_Rarely"/>
    <n v="1134"/>
    <x v="1"/>
    <n v="16"/>
    <n v="4"/>
    <s v="Technical Degree"/>
    <n v="1"/>
    <x v="717"/>
    <n v="3"/>
    <s v="Female"/>
    <n v="37"/>
    <n v="3"/>
    <n v="1"/>
    <x v="2"/>
    <x v="1"/>
    <s v="Married"/>
    <n v="2811"/>
    <n v="12086"/>
    <n v="9"/>
    <s v="Y"/>
    <x v="1"/>
    <n v="14"/>
    <n v="3"/>
    <n v="2"/>
    <n v="80"/>
    <n v="1"/>
    <n v="4"/>
    <n v="2"/>
    <x v="1"/>
    <n v="2"/>
    <n v="2"/>
    <n v="2"/>
    <n v="2"/>
    <x v="2"/>
    <x v="1"/>
  </r>
  <r>
    <n v="45"/>
    <x v="1"/>
    <s v="Non-Travel"/>
    <n v="248"/>
    <x v="1"/>
    <n v="23"/>
    <n v="2"/>
    <s v="Life Sciences"/>
    <n v="1"/>
    <x v="718"/>
    <n v="4"/>
    <s v="Male"/>
    <n v="42"/>
    <n v="3"/>
    <n v="2"/>
    <x v="2"/>
    <x v="3"/>
    <s v="Married"/>
    <n v="3633"/>
    <n v="14039"/>
    <n v="1"/>
    <s v="Y"/>
    <x v="0"/>
    <n v="15"/>
    <n v="3"/>
    <n v="3"/>
    <n v="80"/>
    <n v="1"/>
    <n v="9"/>
    <n v="2"/>
    <x v="1"/>
    <n v="9"/>
    <n v="8"/>
    <n v="0"/>
    <n v="8"/>
    <x v="0"/>
    <x v="1"/>
  </r>
  <r>
    <n v="47"/>
    <x v="1"/>
    <s v="Travel_Rarely"/>
    <n v="955"/>
    <x v="0"/>
    <n v="4"/>
    <n v="2"/>
    <s v="Life Sciences"/>
    <n v="1"/>
    <x v="719"/>
    <n v="4"/>
    <s v="Female"/>
    <n v="83"/>
    <n v="3"/>
    <n v="2"/>
    <x v="0"/>
    <x v="0"/>
    <s v="Single"/>
    <n v="4163"/>
    <n v="8571"/>
    <n v="1"/>
    <s v="Y"/>
    <x v="0"/>
    <n v="17"/>
    <n v="3"/>
    <n v="3"/>
    <n v="80"/>
    <n v="0"/>
    <n v="9"/>
    <n v="0"/>
    <x v="1"/>
    <n v="9"/>
    <n v="0"/>
    <n v="0"/>
    <n v="7"/>
    <x v="0"/>
    <x v="0"/>
  </r>
  <r>
    <n v="30"/>
    <x v="0"/>
    <s v="Travel_Rarely"/>
    <n v="138"/>
    <x v="1"/>
    <n v="22"/>
    <n v="3"/>
    <s v="Life Sciences"/>
    <n v="1"/>
    <x v="720"/>
    <n v="1"/>
    <s v="Female"/>
    <n v="48"/>
    <n v="3"/>
    <n v="1"/>
    <x v="1"/>
    <x v="2"/>
    <s v="Married"/>
    <n v="2132"/>
    <n v="11539"/>
    <n v="4"/>
    <s v="Y"/>
    <x v="0"/>
    <n v="11"/>
    <n v="3"/>
    <n v="2"/>
    <n v="80"/>
    <n v="0"/>
    <n v="7"/>
    <n v="2"/>
    <x v="1"/>
    <n v="5"/>
    <n v="2"/>
    <n v="0"/>
    <n v="1"/>
    <x v="1"/>
    <x v="1"/>
  </r>
  <r>
    <n v="50"/>
    <x v="1"/>
    <s v="Travel_Rarely"/>
    <n v="939"/>
    <x v="1"/>
    <n v="24"/>
    <n v="3"/>
    <s v="Life Sciences"/>
    <n v="1"/>
    <x v="721"/>
    <n v="4"/>
    <s v="Male"/>
    <n v="95"/>
    <n v="3"/>
    <n v="4"/>
    <x v="3"/>
    <x v="2"/>
    <s v="Married"/>
    <n v="13973"/>
    <n v="4161"/>
    <n v="3"/>
    <s v="Y"/>
    <x v="0"/>
    <n v="18"/>
    <n v="3"/>
    <n v="4"/>
    <n v="80"/>
    <n v="1"/>
    <n v="22"/>
    <n v="2"/>
    <x v="1"/>
    <n v="12"/>
    <n v="11"/>
    <n v="1"/>
    <n v="5"/>
    <x v="0"/>
    <x v="2"/>
  </r>
  <r>
    <n v="38"/>
    <x v="1"/>
    <s v="Travel_Frequently"/>
    <n v="1391"/>
    <x v="1"/>
    <n v="10"/>
    <n v="1"/>
    <s v="Medical"/>
    <n v="1"/>
    <x v="722"/>
    <n v="3"/>
    <s v="Male"/>
    <n v="66"/>
    <n v="3"/>
    <n v="1"/>
    <x v="1"/>
    <x v="2"/>
    <s v="Married"/>
    <n v="2684"/>
    <n v="12127"/>
    <n v="0"/>
    <s v="Y"/>
    <x v="1"/>
    <n v="17"/>
    <n v="3"/>
    <n v="2"/>
    <n v="80"/>
    <n v="1"/>
    <n v="3"/>
    <n v="0"/>
    <x v="2"/>
    <n v="2"/>
    <n v="1"/>
    <n v="0"/>
    <n v="2"/>
    <x v="1"/>
    <x v="1"/>
  </r>
  <r>
    <n v="46"/>
    <x v="1"/>
    <s v="Travel_Rarely"/>
    <n v="566"/>
    <x v="1"/>
    <n v="7"/>
    <n v="2"/>
    <s v="Medical"/>
    <n v="1"/>
    <x v="723"/>
    <n v="4"/>
    <s v="Male"/>
    <n v="75"/>
    <n v="3"/>
    <n v="3"/>
    <x v="3"/>
    <x v="2"/>
    <s v="Divorced"/>
    <n v="10845"/>
    <n v="24208"/>
    <n v="6"/>
    <s v="Y"/>
    <x v="1"/>
    <n v="13"/>
    <n v="3"/>
    <n v="2"/>
    <n v="80"/>
    <n v="1"/>
    <n v="13"/>
    <n v="3"/>
    <x v="1"/>
    <n v="8"/>
    <n v="7"/>
    <n v="0"/>
    <n v="7"/>
    <x v="0"/>
    <x v="2"/>
  </r>
  <r>
    <n v="24"/>
    <x v="1"/>
    <s v="Travel_Rarely"/>
    <n v="1206"/>
    <x v="1"/>
    <n v="17"/>
    <n v="1"/>
    <s v="Medical"/>
    <n v="1"/>
    <x v="724"/>
    <n v="4"/>
    <s v="Female"/>
    <n v="41"/>
    <n v="2"/>
    <n v="2"/>
    <x v="3"/>
    <x v="2"/>
    <s v="Divorced"/>
    <n v="4377"/>
    <n v="24117"/>
    <n v="1"/>
    <s v="Y"/>
    <x v="1"/>
    <n v="15"/>
    <n v="3"/>
    <n v="2"/>
    <n v="80"/>
    <n v="2"/>
    <n v="5"/>
    <n v="6"/>
    <x v="1"/>
    <n v="4"/>
    <n v="2"/>
    <n v="3"/>
    <n v="2"/>
    <x v="2"/>
    <x v="0"/>
  </r>
  <r>
    <n v="35"/>
    <x v="0"/>
    <s v="Travel_Rarely"/>
    <n v="622"/>
    <x v="1"/>
    <n v="14"/>
    <n v="4"/>
    <s v="Other"/>
    <n v="1"/>
    <x v="725"/>
    <n v="3"/>
    <s v="Male"/>
    <n v="39"/>
    <n v="2"/>
    <n v="1"/>
    <x v="2"/>
    <x v="1"/>
    <s v="Divorced"/>
    <n v="3743"/>
    <n v="10074"/>
    <n v="1"/>
    <s v="Y"/>
    <x v="0"/>
    <n v="24"/>
    <n v="4"/>
    <n v="4"/>
    <n v="80"/>
    <n v="1"/>
    <n v="5"/>
    <n v="2"/>
    <x v="0"/>
    <n v="4"/>
    <n v="2"/>
    <n v="0"/>
    <n v="2"/>
    <x v="1"/>
    <x v="1"/>
  </r>
  <r>
    <n v="31"/>
    <x v="1"/>
    <s v="Travel_Frequently"/>
    <n v="853"/>
    <x v="1"/>
    <n v="1"/>
    <n v="1"/>
    <s v="Life Sciences"/>
    <n v="1"/>
    <x v="726"/>
    <n v="3"/>
    <s v="Female"/>
    <n v="96"/>
    <n v="3"/>
    <n v="2"/>
    <x v="3"/>
    <x v="3"/>
    <s v="Married"/>
    <n v="4148"/>
    <n v="11275"/>
    <n v="1"/>
    <s v="Y"/>
    <x v="1"/>
    <n v="12"/>
    <n v="3"/>
    <n v="3"/>
    <n v="80"/>
    <n v="1"/>
    <n v="4"/>
    <n v="1"/>
    <x v="1"/>
    <n v="4"/>
    <n v="3"/>
    <n v="0"/>
    <n v="3"/>
    <x v="1"/>
    <x v="0"/>
  </r>
  <r>
    <n v="18"/>
    <x v="1"/>
    <s v="Non-Travel"/>
    <n v="287"/>
    <x v="1"/>
    <n v="5"/>
    <n v="2"/>
    <s v="Life Sciences"/>
    <n v="1"/>
    <x v="727"/>
    <n v="2"/>
    <s v="Male"/>
    <n v="73"/>
    <n v="3"/>
    <n v="1"/>
    <x v="1"/>
    <x v="0"/>
    <s v="Single"/>
    <n v="1051"/>
    <n v="13493"/>
    <n v="1"/>
    <s v="Y"/>
    <x v="1"/>
    <n v="15"/>
    <n v="3"/>
    <n v="4"/>
    <n v="80"/>
    <n v="0"/>
    <n v="0"/>
    <n v="2"/>
    <x v="1"/>
    <n v="0"/>
    <n v="0"/>
    <n v="0"/>
    <n v="0"/>
    <x v="2"/>
    <x v="1"/>
  </r>
  <r>
    <n v="54"/>
    <x v="1"/>
    <s v="Travel_Rarely"/>
    <n v="1441"/>
    <x v="1"/>
    <n v="17"/>
    <n v="3"/>
    <s v="Technical Degree"/>
    <n v="1"/>
    <x v="728"/>
    <n v="3"/>
    <s v="Female"/>
    <n v="56"/>
    <n v="3"/>
    <n v="3"/>
    <x v="3"/>
    <x v="2"/>
    <s v="Married"/>
    <n v="10739"/>
    <n v="13943"/>
    <n v="8"/>
    <s v="Y"/>
    <x v="1"/>
    <n v="11"/>
    <n v="3"/>
    <n v="3"/>
    <n v="80"/>
    <n v="1"/>
    <n v="22"/>
    <n v="2"/>
    <x v="1"/>
    <n v="10"/>
    <n v="7"/>
    <n v="0"/>
    <n v="8"/>
    <x v="3"/>
    <x v="2"/>
  </r>
  <r>
    <n v="35"/>
    <x v="1"/>
    <s v="Travel_Rarely"/>
    <n v="583"/>
    <x v="1"/>
    <n v="25"/>
    <n v="4"/>
    <s v="Medical"/>
    <n v="1"/>
    <x v="729"/>
    <n v="3"/>
    <s v="Female"/>
    <n v="57"/>
    <n v="3"/>
    <n v="3"/>
    <x v="4"/>
    <x v="2"/>
    <s v="Divorced"/>
    <n v="10388"/>
    <n v="6975"/>
    <n v="1"/>
    <s v="Y"/>
    <x v="0"/>
    <n v="11"/>
    <n v="3"/>
    <n v="3"/>
    <n v="80"/>
    <n v="1"/>
    <n v="16"/>
    <n v="3"/>
    <x v="2"/>
    <n v="16"/>
    <n v="10"/>
    <n v="10"/>
    <n v="1"/>
    <x v="1"/>
    <x v="2"/>
  </r>
  <r>
    <n v="30"/>
    <x v="1"/>
    <s v="Travel_Rarely"/>
    <n v="153"/>
    <x v="1"/>
    <n v="8"/>
    <n v="2"/>
    <s v="Life Sciences"/>
    <n v="1"/>
    <x v="730"/>
    <n v="2"/>
    <s v="Female"/>
    <n v="73"/>
    <n v="4"/>
    <n v="3"/>
    <x v="7"/>
    <x v="3"/>
    <s v="Married"/>
    <n v="11416"/>
    <n v="17802"/>
    <n v="0"/>
    <s v="Y"/>
    <x v="0"/>
    <n v="12"/>
    <n v="3"/>
    <n v="3"/>
    <n v="80"/>
    <n v="3"/>
    <n v="9"/>
    <n v="4"/>
    <x v="2"/>
    <n v="8"/>
    <n v="7"/>
    <n v="1"/>
    <n v="7"/>
    <x v="1"/>
    <x v="2"/>
  </r>
  <r>
    <n v="20"/>
    <x v="0"/>
    <s v="Travel_Rarely"/>
    <n v="1097"/>
    <x v="1"/>
    <n v="11"/>
    <n v="3"/>
    <s v="Medical"/>
    <n v="1"/>
    <x v="731"/>
    <n v="4"/>
    <s v="Female"/>
    <n v="98"/>
    <n v="2"/>
    <n v="1"/>
    <x v="1"/>
    <x v="3"/>
    <s v="Single"/>
    <n v="2600"/>
    <n v="18275"/>
    <n v="1"/>
    <s v="Y"/>
    <x v="0"/>
    <n v="15"/>
    <n v="3"/>
    <n v="1"/>
    <n v="80"/>
    <n v="0"/>
    <n v="1"/>
    <n v="2"/>
    <x v="1"/>
    <n v="1"/>
    <n v="0"/>
    <n v="0"/>
    <n v="0"/>
    <x v="2"/>
    <x v="1"/>
  </r>
  <r>
    <n v="30"/>
    <x v="0"/>
    <s v="Travel_Frequently"/>
    <n v="109"/>
    <x v="1"/>
    <n v="5"/>
    <n v="3"/>
    <s v="Medical"/>
    <n v="1"/>
    <x v="732"/>
    <n v="2"/>
    <s v="Female"/>
    <n v="60"/>
    <n v="3"/>
    <n v="1"/>
    <x v="2"/>
    <x v="1"/>
    <s v="Single"/>
    <n v="2422"/>
    <n v="25725"/>
    <n v="0"/>
    <s v="Y"/>
    <x v="1"/>
    <n v="17"/>
    <n v="3"/>
    <n v="1"/>
    <n v="80"/>
    <n v="0"/>
    <n v="4"/>
    <n v="3"/>
    <x v="1"/>
    <n v="3"/>
    <n v="2"/>
    <n v="1"/>
    <n v="2"/>
    <x v="1"/>
    <x v="1"/>
  </r>
  <r>
    <n v="26"/>
    <x v="1"/>
    <s v="Travel_Rarely"/>
    <n v="1066"/>
    <x v="1"/>
    <n v="2"/>
    <n v="2"/>
    <s v="Medical"/>
    <n v="1"/>
    <x v="733"/>
    <n v="4"/>
    <s v="Male"/>
    <n v="32"/>
    <n v="4"/>
    <n v="2"/>
    <x v="3"/>
    <x v="0"/>
    <s v="Married"/>
    <n v="5472"/>
    <n v="3334"/>
    <n v="1"/>
    <s v="Y"/>
    <x v="1"/>
    <n v="12"/>
    <n v="3"/>
    <n v="2"/>
    <n v="80"/>
    <n v="0"/>
    <n v="8"/>
    <n v="2"/>
    <x v="1"/>
    <n v="8"/>
    <n v="7"/>
    <n v="1"/>
    <n v="3"/>
    <x v="2"/>
    <x v="0"/>
  </r>
  <r>
    <n v="22"/>
    <x v="1"/>
    <s v="Travel_Rarely"/>
    <n v="217"/>
    <x v="1"/>
    <n v="8"/>
    <n v="1"/>
    <s v="Life Sciences"/>
    <n v="1"/>
    <x v="734"/>
    <n v="2"/>
    <s v="Male"/>
    <n v="94"/>
    <n v="1"/>
    <n v="1"/>
    <x v="2"/>
    <x v="3"/>
    <s v="Married"/>
    <n v="2451"/>
    <n v="6881"/>
    <n v="1"/>
    <s v="Y"/>
    <x v="1"/>
    <n v="15"/>
    <n v="3"/>
    <n v="1"/>
    <n v="80"/>
    <n v="1"/>
    <n v="4"/>
    <n v="3"/>
    <x v="2"/>
    <n v="4"/>
    <n v="3"/>
    <n v="1"/>
    <n v="1"/>
    <x v="2"/>
    <x v="1"/>
  </r>
  <r>
    <n v="48"/>
    <x v="1"/>
    <s v="Travel_Rarely"/>
    <n v="277"/>
    <x v="1"/>
    <n v="6"/>
    <n v="3"/>
    <s v="Life Sciences"/>
    <n v="1"/>
    <x v="735"/>
    <n v="1"/>
    <s v="Male"/>
    <n v="97"/>
    <n v="2"/>
    <n v="2"/>
    <x v="4"/>
    <x v="2"/>
    <s v="Single"/>
    <n v="4240"/>
    <n v="13119"/>
    <n v="2"/>
    <s v="Y"/>
    <x v="1"/>
    <n v="13"/>
    <n v="3"/>
    <n v="4"/>
    <n v="80"/>
    <n v="0"/>
    <n v="19"/>
    <n v="0"/>
    <x v="1"/>
    <n v="2"/>
    <n v="2"/>
    <n v="2"/>
    <n v="2"/>
    <x v="0"/>
    <x v="0"/>
  </r>
  <r>
    <n v="48"/>
    <x v="1"/>
    <s v="Travel_Rarely"/>
    <n v="1355"/>
    <x v="1"/>
    <n v="4"/>
    <n v="4"/>
    <s v="Life Sciences"/>
    <n v="1"/>
    <x v="736"/>
    <n v="3"/>
    <s v="Male"/>
    <n v="78"/>
    <n v="2"/>
    <n v="3"/>
    <x v="4"/>
    <x v="2"/>
    <s v="Single"/>
    <n v="10999"/>
    <n v="22245"/>
    <n v="7"/>
    <s v="Y"/>
    <x v="1"/>
    <n v="14"/>
    <n v="3"/>
    <n v="2"/>
    <n v="80"/>
    <n v="0"/>
    <n v="27"/>
    <n v="3"/>
    <x v="1"/>
    <n v="15"/>
    <n v="11"/>
    <n v="4"/>
    <n v="8"/>
    <x v="0"/>
    <x v="2"/>
  </r>
  <r>
    <n v="41"/>
    <x v="1"/>
    <s v="Travel_Rarely"/>
    <n v="549"/>
    <x v="1"/>
    <n v="7"/>
    <n v="2"/>
    <s v="Medical"/>
    <n v="1"/>
    <x v="737"/>
    <n v="4"/>
    <s v="Female"/>
    <n v="42"/>
    <n v="3"/>
    <n v="2"/>
    <x v="3"/>
    <x v="2"/>
    <s v="Single"/>
    <n v="5003"/>
    <n v="23371"/>
    <n v="6"/>
    <s v="Y"/>
    <x v="1"/>
    <n v="14"/>
    <n v="3"/>
    <n v="2"/>
    <n v="80"/>
    <n v="0"/>
    <n v="8"/>
    <n v="6"/>
    <x v="1"/>
    <n v="2"/>
    <n v="2"/>
    <n v="2"/>
    <n v="1"/>
    <x v="0"/>
    <x v="0"/>
  </r>
  <r>
    <n v="39"/>
    <x v="1"/>
    <s v="Travel_Rarely"/>
    <n v="466"/>
    <x v="1"/>
    <n v="1"/>
    <n v="1"/>
    <s v="Life Sciences"/>
    <n v="1"/>
    <x v="738"/>
    <n v="4"/>
    <s v="Female"/>
    <n v="65"/>
    <n v="2"/>
    <n v="4"/>
    <x v="3"/>
    <x v="0"/>
    <s v="Married"/>
    <n v="12742"/>
    <n v="7060"/>
    <n v="1"/>
    <s v="Y"/>
    <x v="1"/>
    <n v="16"/>
    <n v="3"/>
    <n v="3"/>
    <n v="80"/>
    <n v="1"/>
    <n v="21"/>
    <n v="3"/>
    <x v="1"/>
    <n v="21"/>
    <n v="6"/>
    <n v="11"/>
    <n v="8"/>
    <x v="1"/>
    <x v="2"/>
  </r>
  <r>
    <n v="27"/>
    <x v="1"/>
    <s v="Travel_Rarely"/>
    <n v="1055"/>
    <x v="1"/>
    <n v="2"/>
    <n v="4"/>
    <s v="Life Sciences"/>
    <n v="1"/>
    <x v="739"/>
    <n v="1"/>
    <s v="Female"/>
    <n v="47"/>
    <n v="3"/>
    <n v="2"/>
    <x v="3"/>
    <x v="0"/>
    <s v="Married"/>
    <n v="4227"/>
    <n v="4658"/>
    <n v="0"/>
    <s v="Y"/>
    <x v="1"/>
    <n v="18"/>
    <n v="3"/>
    <n v="2"/>
    <n v="80"/>
    <n v="1"/>
    <n v="4"/>
    <n v="2"/>
    <x v="1"/>
    <n v="3"/>
    <n v="2"/>
    <n v="2"/>
    <n v="2"/>
    <x v="2"/>
    <x v="0"/>
  </r>
  <r>
    <n v="35"/>
    <x v="1"/>
    <s v="Travel_Rarely"/>
    <n v="802"/>
    <x v="1"/>
    <n v="10"/>
    <n v="3"/>
    <s v="Other"/>
    <n v="1"/>
    <x v="740"/>
    <n v="2"/>
    <s v="Male"/>
    <n v="45"/>
    <n v="3"/>
    <n v="1"/>
    <x v="2"/>
    <x v="0"/>
    <s v="Divorced"/>
    <n v="3917"/>
    <n v="9541"/>
    <n v="1"/>
    <s v="Y"/>
    <x v="1"/>
    <n v="20"/>
    <n v="4"/>
    <n v="1"/>
    <n v="80"/>
    <n v="1"/>
    <n v="3"/>
    <n v="4"/>
    <x v="2"/>
    <n v="3"/>
    <n v="2"/>
    <n v="1"/>
    <n v="2"/>
    <x v="1"/>
    <x v="1"/>
  </r>
  <r>
    <n v="42"/>
    <x v="1"/>
    <s v="Travel_Rarely"/>
    <n v="265"/>
    <x v="0"/>
    <n v="5"/>
    <n v="2"/>
    <s v="Marketing"/>
    <n v="1"/>
    <x v="741"/>
    <n v="4"/>
    <s v="Male"/>
    <n v="90"/>
    <n v="3"/>
    <n v="5"/>
    <x v="5"/>
    <x v="2"/>
    <s v="Married"/>
    <n v="18303"/>
    <n v="7770"/>
    <n v="6"/>
    <s v="Y"/>
    <x v="1"/>
    <n v="13"/>
    <n v="3"/>
    <n v="2"/>
    <n v="80"/>
    <n v="0"/>
    <n v="21"/>
    <n v="3"/>
    <x v="3"/>
    <n v="1"/>
    <n v="0"/>
    <n v="0"/>
    <n v="0"/>
    <x v="0"/>
    <x v="2"/>
  </r>
  <r>
    <n v="50"/>
    <x v="1"/>
    <s v="Travel_Rarely"/>
    <n v="804"/>
    <x v="1"/>
    <n v="9"/>
    <n v="3"/>
    <s v="Life Sciences"/>
    <n v="1"/>
    <x v="742"/>
    <n v="1"/>
    <s v="Male"/>
    <n v="64"/>
    <n v="3"/>
    <n v="1"/>
    <x v="2"/>
    <x v="0"/>
    <s v="Married"/>
    <n v="2380"/>
    <n v="20165"/>
    <n v="4"/>
    <s v="Y"/>
    <x v="1"/>
    <n v="18"/>
    <n v="3"/>
    <n v="2"/>
    <n v="80"/>
    <n v="0"/>
    <n v="8"/>
    <n v="5"/>
    <x v="1"/>
    <n v="1"/>
    <n v="0"/>
    <n v="0"/>
    <n v="0"/>
    <x v="0"/>
    <x v="1"/>
  </r>
  <r>
    <n v="59"/>
    <x v="1"/>
    <s v="Travel_Rarely"/>
    <n v="715"/>
    <x v="1"/>
    <n v="2"/>
    <n v="3"/>
    <s v="Life Sciences"/>
    <n v="1"/>
    <x v="743"/>
    <n v="3"/>
    <s v="Female"/>
    <n v="69"/>
    <n v="2"/>
    <n v="4"/>
    <x v="3"/>
    <x v="0"/>
    <s v="Single"/>
    <n v="13726"/>
    <n v="21829"/>
    <n v="3"/>
    <s v="Y"/>
    <x v="0"/>
    <n v="13"/>
    <n v="3"/>
    <n v="1"/>
    <n v="80"/>
    <n v="0"/>
    <n v="30"/>
    <n v="4"/>
    <x v="1"/>
    <n v="5"/>
    <n v="3"/>
    <n v="4"/>
    <n v="3"/>
    <x v="3"/>
    <x v="2"/>
  </r>
  <r>
    <n v="37"/>
    <x v="0"/>
    <s v="Travel_Rarely"/>
    <n v="1141"/>
    <x v="1"/>
    <n v="11"/>
    <n v="2"/>
    <s v="Medical"/>
    <n v="1"/>
    <x v="744"/>
    <n v="1"/>
    <s v="Female"/>
    <n v="61"/>
    <n v="1"/>
    <n v="2"/>
    <x v="4"/>
    <x v="1"/>
    <s v="Married"/>
    <n v="4777"/>
    <n v="14382"/>
    <n v="5"/>
    <s v="Y"/>
    <x v="1"/>
    <n v="15"/>
    <n v="3"/>
    <n v="1"/>
    <n v="80"/>
    <n v="0"/>
    <n v="15"/>
    <n v="2"/>
    <x v="0"/>
    <n v="1"/>
    <n v="0"/>
    <n v="0"/>
    <n v="0"/>
    <x v="1"/>
    <x v="0"/>
  </r>
  <r>
    <n v="55"/>
    <x v="1"/>
    <s v="Travel_Frequently"/>
    <n v="135"/>
    <x v="1"/>
    <n v="18"/>
    <n v="4"/>
    <s v="Medical"/>
    <n v="1"/>
    <x v="745"/>
    <n v="3"/>
    <s v="Male"/>
    <n v="62"/>
    <n v="3"/>
    <n v="2"/>
    <x v="4"/>
    <x v="1"/>
    <s v="Married"/>
    <n v="6385"/>
    <n v="12992"/>
    <n v="3"/>
    <s v="Y"/>
    <x v="0"/>
    <n v="14"/>
    <n v="3"/>
    <n v="4"/>
    <n v="80"/>
    <n v="2"/>
    <n v="17"/>
    <n v="3"/>
    <x v="1"/>
    <n v="8"/>
    <n v="7"/>
    <n v="6"/>
    <n v="7"/>
    <x v="3"/>
    <x v="0"/>
  </r>
  <r>
    <n v="41"/>
    <x v="1"/>
    <s v="Non-Travel"/>
    <n v="247"/>
    <x v="1"/>
    <n v="7"/>
    <n v="1"/>
    <s v="Life Sciences"/>
    <n v="1"/>
    <x v="746"/>
    <n v="2"/>
    <s v="Female"/>
    <n v="55"/>
    <n v="1"/>
    <n v="5"/>
    <x v="7"/>
    <x v="2"/>
    <s v="Divorced"/>
    <n v="19973"/>
    <n v="20284"/>
    <n v="1"/>
    <s v="Y"/>
    <x v="1"/>
    <n v="22"/>
    <n v="4"/>
    <n v="2"/>
    <n v="80"/>
    <n v="2"/>
    <n v="21"/>
    <n v="3"/>
    <x v="1"/>
    <n v="21"/>
    <n v="16"/>
    <n v="5"/>
    <n v="10"/>
    <x v="0"/>
    <x v="2"/>
  </r>
  <r>
    <n v="38"/>
    <x v="1"/>
    <s v="Travel_Rarely"/>
    <n v="1035"/>
    <x v="0"/>
    <n v="3"/>
    <n v="4"/>
    <s v="Life Sciences"/>
    <n v="1"/>
    <x v="747"/>
    <n v="2"/>
    <s v="Male"/>
    <n v="42"/>
    <n v="3"/>
    <n v="2"/>
    <x v="0"/>
    <x v="0"/>
    <s v="Single"/>
    <n v="6861"/>
    <n v="4981"/>
    <n v="8"/>
    <s v="Y"/>
    <x v="0"/>
    <n v="12"/>
    <n v="3"/>
    <n v="3"/>
    <n v="80"/>
    <n v="0"/>
    <n v="19"/>
    <n v="1"/>
    <x v="1"/>
    <n v="1"/>
    <n v="0"/>
    <n v="0"/>
    <n v="0"/>
    <x v="1"/>
    <x v="0"/>
  </r>
  <r>
    <n v="26"/>
    <x v="0"/>
    <s v="Non-Travel"/>
    <n v="265"/>
    <x v="0"/>
    <n v="29"/>
    <n v="2"/>
    <s v="Medical"/>
    <n v="1"/>
    <x v="748"/>
    <n v="2"/>
    <s v="Male"/>
    <n v="79"/>
    <n v="1"/>
    <n v="2"/>
    <x v="0"/>
    <x v="3"/>
    <s v="Single"/>
    <n v="4969"/>
    <n v="21813"/>
    <n v="8"/>
    <s v="Y"/>
    <x v="1"/>
    <n v="18"/>
    <n v="3"/>
    <n v="4"/>
    <n v="80"/>
    <n v="0"/>
    <n v="7"/>
    <n v="6"/>
    <x v="1"/>
    <n v="2"/>
    <n v="2"/>
    <n v="2"/>
    <n v="2"/>
    <x v="2"/>
    <x v="0"/>
  </r>
  <r>
    <n v="52"/>
    <x v="0"/>
    <s v="Travel_Rarely"/>
    <n v="266"/>
    <x v="0"/>
    <n v="2"/>
    <n v="1"/>
    <s v="Marketing"/>
    <n v="1"/>
    <x v="749"/>
    <n v="1"/>
    <s v="Female"/>
    <n v="57"/>
    <n v="1"/>
    <n v="5"/>
    <x v="5"/>
    <x v="0"/>
    <s v="Married"/>
    <n v="19845"/>
    <n v="25846"/>
    <n v="1"/>
    <s v="Y"/>
    <x v="1"/>
    <n v="15"/>
    <n v="3"/>
    <n v="4"/>
    <n v="80"/>
    <n v="1"/>
    <n v="33"/>
    <n v="3"/>
    <x v="1"/>
    <n v="32"/>
    <n v="14"/>
    <n v="6"/>
    <n v="9"/>
    <x v="3"/>
    <x v="2"/>
  </r>
  <r>
    <n v="44"/>
    <x v="1"/>
    <s v="Travel_Rarely"/>
    <n v="1448"/>
    <x v="0"/>
    <n v="28"/>
    <n v="3"/>
    <s v="Medical"/>
    <n v="1"/>
    <x v="750"/>
    <n v="4"/>
    <s v="Female"/>
    <n v="53"/>
    <n v="4"/>
    <n v="4"/>
    <x v="0"/>
    <x v="0"/>
    <s v="Married"/>
    <n v="13320"/>
    <n v="11737"/>
    <n v="3"/>
    <s v="Y"/>
    <x v="0"/>
    <n v="18"/>
    <n v="3"/>
    <n v="3"/>
    <n v="80"/>
    <n v="1"/>
    <n v="23"/>
    <n v="2"/>
    <x v="1"/>
    <n v="12"/>
    <n v="11"/>
    <n v="11"/>
    <n v="11"/>
    <x v="0"/>
    <x v="2"/>
  </r>
  <r>
    <n v="50"/>
    <x v="1"/>
    <s v="Non-Travel"/>
    <n v="145"/>
    <x v="0"/>
    <n v="1"/>
    <n v="3"/>
    <s v="Life Sciences"/>
    <n v="1"/>
    <x v="751"/>
    <n v="4"/>
    <s v="Female"/>
    <n v="95"/>
    <n v="3"/>
    <n v="2"/>
    <x v="0"/>
    <x v="2"/>
    <s v="Married"/>
    <n v="6347"/>
    <n v="24920"/>
    <n v="0"/>
    <s v="Y"/>
    <x v="1"/>
    <n v="12"/>
    <n v="3"/>
    <n v="1"/>
    <n v="80"/>
    <n v="1"/>
    <n v="19"/>
    <n v="3"/>
    <x v="1"/>
    <n v="18"/>
    <n v="7"/>
    <n v="0"/>
    <n v="13"/>
    <x v="0"/>
    <x v="0"/>
  </r>
  <r>
    <n v="36"/>
    <x v="0"/>
    <s v="Travel_Rarely"/>
    <n v="885"/>
    <x v="1"/>
    <n v="16"/>
    <n v="4"/>
    <s v="Life Sciences"/>
    <n v="1"/>
    <x v="752"/>
    <n v="3"/>
    <s v="Female"/>
    <n v="43"/>
    <n v="4"/>
    <n v="1"/>
    <x v="2"/>
    <x v="3"/>
    <s v="Single"/>
    <n v="2743"/>
    <n v="8269"/>
    <n v="1"/>
    <s v="Y"/>
    <x v="1"/>
    <n v="16"/>
    <n v="3"/>
    <n v="3"/>
    <n v="80"/>
    <n v="0"/>
    <n v="18"/>
    <n v="1"/>
    <x v="1"/>
    <n v="17"/>
    <n v="13"/>
    <n v="15"/>
    <n v="14"/>
    <x v="1"/>
    <x v="1"/>
  </r>
  <r>
    <n v="39"/>
    <x v="1"/>
    <s v="Travel_Frequently"/>
    <n v="945"/>
    <x v="1"/>
    <n v="22"/>
    <n v="3"/>
    <s v="Medical"/>
    <n v="1"/>
    <x v="753"/>
    <n v="4"/>
    <s v="Female"/>
    <n v="82"/>
    <n v="3"/>
    <n v="3"/>
    <x v="3"/>
    <x v="3"/>
    <s v="Single"/>
    <n v="10880"/>
    <n v="5083"/>
    <n v="1"/>
    <s v="Y"/>
    <x v="0"/>
    <n v="13"/>
    <n v="3"/>
    <n v="3"/>
    <n v="80"/>
    <n v="0"/>
    <n v="21"/>
    <n v="2"/>
    <x v="1"/>
    <n v="21"/>
    <n v="6"/>
    <n v="2"/>
    <n v="8"/>
    <x v="1"/>
    <x v="2"/>
  </r>
  <r>
    <n v="33"/>
    <x v="1"/>
    <s v="Non-Travel"/>
    <n v="1038"/>
    <x v="0"/>
    <n v="8"/>
    <n v="1"/>
    <s v="Life Sciences"/>
    <n v="1"/>
    <x v="754"/>
    <n v="2"/>
    <s v="Female"/>
    <n v="88"/>
    <n v="2"/>
    <n v="1"/>
    <x v="6"/>
    <x v="0"/>
    <s v="Single"/>
    <n v="2342"/>
    <n v="21437"/>
    <n v="0"/>
    <s v="Y"/>
    <x v="1"/>
    <n v="19"/>
    <n v="3"/>
    <n v="4"/>
    <n v="80"/>
    <n v="0"/>
    <n v="3"/>
    <n v="2"/>
    <x v="2"/>
    <n v="2"/>
    <n v="2"/>
    <n v="2"/>
    <n v="2"/>
    <x v="1"/>
    <x v="1"/>
  </r>
  <r>
    <n v="45"/>
    <x v="1"/>
    <s v="Travel_Rarely"/>
    <n v="1234"/>
    <x v="0"/>
    <n v="11"/>
    <n v="2"/>
    <s v="Life Sciences"/>
    <n v="1"/>
    <x v="755"/>
    <n v="4"/>
    <s v="Female"/>
    <n v="90"/>
    <n v="3"/>
    <n v="4"/>
    <x v="5"/>
    <x v="0"/>
    <s v="Married"/>
    <n v="17650"/>
    <n v="5404"/>
    <n v="3"/>
    <s v="Y"/>
    <x v="1"/>
    <n v="13"/>
    <n v="3"/>
    <n v="2"/>
    <n v="80"/>
    <n v="1"/>
    <n v="26"/>
    <n v="4"/>
    <x v="3"/>
    <n v="9"/>
    <n v="3"/>
    <n v="1"/>
    <n v="1"/>
    <x v="0"/>
    <x v="2"/>
  </r>
  <r>
    <n v="32"/>
    <x v="1"/>
    <s v="Non-Travel"/>
    <n v="1109"/>
    <x v="1"/>
    <n v="29"/>
    <n v="4"/>
    <s v="Medical"/>
    <n v="1"/>
    <x v="756"/>
    <n v="4"/>
    <s v="Female"/>
    <n v="69"/>
    <n v="3"/>
    <n v="1"/>
    <x v="2"/>
    <x v="2"/>
    <s v="Single"/>
    <n v="4025"/>
    <n v="11135"/>
    <n v="9"/>
    <s v="Y"/>
    <x v="1"/>
    <n v="12"/>
    <n v="3"/>
    <n v="2"/>
    <n v="80"/>
    <n v="0"/>
    <n v="10"/>
    <n v="2"/>
    <x v="1"/>
    <n v="8"/>
    <n v="7"/>
    <n v="7"/>
    <n v="7"/>
    <x v="1"/>
    <x v="0"/>
  </r>
  <r>
    <n v="34"/>
    <x v="1"/>
    <s v="Travel_Rarely"/>
    <n v="216"/>
    <x v="0"/>
    <n v="1"/>
    <n v="4"/>
    <s v="Marketing"/>
    <n v="1"/>
    <x v="757"/>
    <n v="2"/>
    <s v="Male"/>
    <n v="75"/>
    <n v="4"/>
    <n v="2"/>
    <x v="0"/>
    <x v="0"/>
    <s v="Divorced"/>
    <n v="9725"/>
    <n v="12278"/>
    <n v="0"/>
    <s v="Y"/>
    <x v="1"/>
    <n v="11"/>
    <n v="3"/>
    <n v="4"/>
    <n v="80"/>
    <n v="1"/>
    <n v="16"/>
    <n v="2"/>
    <x v="2"/>
    <n v="15"/>
    <n v="1"/>
    <n v="0"/>
    <n v="9"/>
    <x v="1"/>
    <x v="2"/>
  </r>
  <r>
    <n v="59"/>
    <x v="1"/>
    <s v="Travel_Rarely"/>
    <n v="1089"/>
    <x v="0"/>
    <n v="1"/>
    <n v="2"/>
    <s v="Technical Degree"/>
    <n v="1"/>
    <x v="758"/>
    <n v="2"/>
    <s v="Male"/>
    <n v="66"/>
    <n v="3"/>
    <n v="3"/>
    <x v="5"/>
    <x v="0"/>
    <s v="Married"/>
    <n v="11904"/>
    <n v="11038"/>
    <n v="3"/>
    <s v="Y"/>
    <x v="0"/>
    <n v="14"/>
    <n v="3"/>
    <n v="3"/>
    <n v="80"/>
    <n v="1"/>
    <n v="14"/>
    <n v="1"/>
    <x v="0"/>
    <n v="6"/>
    <n v="4"/>
    <n v="0"/>
    <n v="4"/>
    <x v="3"/>
    <x v="2"/>
  </r>
  <r>
    <n v="45"/>
    <x v="1"/>
    <s v="Travel_Rarely"/>
    <n v="788"/>
    <x v="2"/>
    <n v="24"/>
    <n v="4"/>
    <s v="Medical"/>
    <n v="1"/>
    <x v="759"/>
    <n v="2"/>
    <s v="Male"/>
    <n v="36"/>
    <n v="3"/>
    <n v="1"/>
    <x v="8"/>
    <x v="1"/>
    <s v="Single"/>
    <n v="2177"/>
    <n v="8318"/>
    <n v="1"/>
    <s v="Y"/>
    <x v="1"/>
    <n v="16"/>
    <n v="3"/>
    <n v="1"/>
    <n v="80"/>
    <n v="0"/>
    <n v="6"/>
    <n v="3"/>
    <x v="1"/>
    <n v="6"/>
    <n v="3"/>
    <n v="0"/>
    <n v="4"/>
    <x v="0"/>
    <x v="1"/>
  </r>
  <r>
    <n v="53"/>
    <x v="1"/>
    <s v="Travel_Frequently"/>
    <n v="124"/>
    <x v="0"/>
    <n v="2"/>
    <n v="3"/>
    <s v="Marketing"/>
    <n v="1"/>
    <x v="760"/>
    <n v="3"/>
    <s v="Female"/>
    <n v="38"/>
    <n v="2"/>
    <n v="3"/>
    <x v="0"/>
    <x v="1"/>
    <s v="Married"/>
    <n v="7525"/>
    <n v="23537"/>
    <n v="2"/>
    <s v="Y"/>
    <x v="1"/>
    <n v="12"/>
    <n v="3"/>
    <n v="1"/>
    <n v="80"/>
    <n v="1"/>
    <n v="30"/>
    <n v="2"/>
    <x v="1"/>
    <n v="15"/>
    <n v="7"/>
    <n v="6"/>
    <n v="12"/>
    <x v="3"/>
    <x v="2"/>
  </r>
  <r>
    <n v="36"/>
    <x v="0"/>
    <s v="Travel_Rarely"/>
    <n v="660"/>
    <x v="1"/>
    <n v="15"/>
    <n v="3"/>
    <s v="Other"/>
    <n v="1"/>
    <x v="761"/>
    <n v="1"/>
    <s v="Male"/>
    <n v="81"/>
    <n v="3"/>
    <n v="2"/>
    <x v="2"/>
    <x v="2"/>
    <s v="Divorced"/>
    <n v="4834"/>
    <n v="7858"/>
    <n v="7"/>
    <s v="Y"/>
    <x v="1"/>
    <n v="14"/>
    <n v="3"/>
    <n v="2"/>
    <n v="80"/>
    <n v="1"/>
    <n v="9"/>
    <n v="3"/>
    <x v="2"/>
    <n v="1"/>
    <n v="0"/>
    <n v="0"/>
    <n v="0"/>
    <x v="1"/>
    <x v="0"/>
  </r>
  <r>
    <n v="26"/>
    <x v="0"/>
    <s v="Travel_Frequently"/>
    <n v="342"/>
    <x v="1"/>
    <n v="2"/>
    <n v="3"/>
    <s v="Life Sciences"/>
    <n v="1"/>
    <x v="762"/>
    <n v="1"/>
    <s v="Male"/>
    <n v="57"/>
    <n v="3"/>
    <n v="1"/>
    <x v="1"/>
    <x v="3"/>
    <s v="Married"/>
    <n v="2042"/>
    <n v="15346"/>
    <n v="6"/>
    <s v="Y"/>
    <x v="0"/>
    <n v="14"/>
    <n v="3"/>
    <n v="2"/>
    <n v="80"/>
    <n v="1"/>
    <n v="6"/>
    <n v="2"/>
    <x v="1"/>
    <n v="3"/>
    <n v="2"/>
    <n v="1"/>
    <n v="2"/>
    <x v="2"/>
    <x v="1"/>
  </r>
  <r>
    <n v="34"/>
    <x v="1"/>
    <s v="Travel_Rarely"/>
    <n v="1333"/>
    <x v="0"/>
    <n v="10"/>
    <n v="4"/>
    <s v="Life Sciences"/>
    <n v="1"/>
    <x v="763"/>
    <n v="3"/>
    <s v="Female"/>
    <n v="87"/>
    <n v="3"/>
    <n v="1"/>
    <x v="6"/>
    <x v="2"/>
    <s v="Married"/>
    <n v="2220"/>
    <n v="18410"/>
    <n v="1"/>
    <s v="Y"/>
    <x v="0"/>
    <n v="19"/>
    <n v="3"/>
    <n v="4"/>
    <n v="80"/>
    <n v="1"/>
    <n v="1"/>
    <n v="2"/>
    <x v="1"/>
    <n v="1"/>
    <n v="1"/>
    <n v="0"/>
    <n v="0"/>
    <x v="1"/>
    <x v="1"/>
  </r>
  <r>
    <n v="28"/>
    <x v="1"/>
    <s v="Travel_Rarely"/>
    <n v="1144"/>
    <x v="0"/>
    <n v="10"/>
    <n v="1"/>
    <s v="Medical"/>
    <n v="1"/>
    <x v="764"/>
    <n v="4"/>
    <s v="Male"/>
    <n v="74"/>
    <n v="3"/>
    <n v="1"/>
    <x v="6"/>
    <x v="1"/>
    <s v="Married"/>
    <n v="1052"/>
    <n v="23384"/>
    <n v="1"/>
    <s v="Y"/>
    <x v="1"/>
    <n v="22"/>
    <n v="4"/>
    <n v="2"/>
    <n v="80"/>
    <n v="0"/>
    <n v="1"/>
    <n v="5"/>
    <x v="1"/>
    <n v="1"/>
    <n v="0"/>
    <n v="0"/>
    <n v="0"/>
    <x v="2"/>
    <x v="1"/>
  </r>
  <r>
    <n v="38"/>
    <x v="1"/>
    <s v="Travel_Frequently"/>
    <n v="1186"/>
    <x v="1"/>
    <n v="3"/>
    <n v="4"/>
    <s v="Other"/>
    <n v="1"/>
    <x v="765"/>
    <n v="3"/>
    <s v="Male"/>
    <n v="44"/>
    <n v="3"/>
    <n v="1"/>
    <x v="1"/>
    <x v="2"/>
    <s v="Married"/>
    <n v="2821"/>
    <n v="2997"/>
    <n v="3"/>
    <s v="Y"/>
    <x v="1"/>
    <n v="16"/>
    <n v="3"/>
    <n v="1"/>
    <n v="80"/>
    <n v="1"/>
    <n v="8"/>
    <n v="2"/>
    <x v="1"/>
    <n v="2"/>
    <n v="2"/>
    <n v="2"/>
    <n v="2"/>
    <x v="1"/>
    <x v="1"/>
  </r>
  <r>
    <n v="50"/>
    <x v="1"/>
    <s v="Travel_Rarely"/>
    <n v="1464"/>
    <x v="1"/>
    <n v="2"/>
    <n v="4"/>
    <s v="Medical"/>
    <n v="1"/>
    <x v="766"/>
    <n v="2"/>
    <s v="Male"/>
    <n v="62"/>
    <n v="3"/>
    <n v="5"/>
    <x v="7"/>
    <x v="2"/>
    <s v="Married"/>
    <n v="19237"/>
    <n v="12853"/>
    <n v="2"/>
    <s v="Y"/>
    <x v="0"/>
    <n v="11"/>
    <n v="3"/>
    <n v="4"/>
    <n v="80"/>
    <n v="1"/>
    <n v="29"/>
    <n v="2"/>
    <x v="2"/>
    <n v="8"/>
    <n v="1"/>
    <n v="7"/>
    <n v="7"/>
    <x v="0"/>
    <x v="2"/>
  </r>
  <r>
    <n v="37"/>
    <x v="1"/>
    <s v="Travel_Rarely"/>
    <n v="124"/>
    <x v="1"/>
    <n v="3"/>
    <n v="3"/>
    <s v="Other"/>
    <n v="1"/>
    <x v="767"/>
    <n v="4"/>
    <s v="Female"/>
    <n v="35"/>
    <n v="3"/>
    <n v="2"/>
    <x v="4"/>
    <x v="1"/>
    <s v="Single"/>
    <n v="4107"/>
    <n v="13848"/>
    <n v="3"/>
    <s v="Y"/>
    <x v="1"/>
    <n v="15"/>
    <n v="3"/>
    <n v="1"/>
    <n v="80"/>
    <n v="0"/>
    <n v="8"/>
    <n v="3"/>
    <x v="2"/>
    <n v="4"/>
    <n v="3"/>
    <n v="0"/>
    <n v="1"/>
    <x v="1"/>
    <x v="0"/>
  </r>
  <r>
    <n v="40"/>
    <x v="1"/>
    <s v="Travel_Rarely"/>
    <n v="300"/>
    <x v="0"/>
    <n v="26"/>
    <n v="3"/>
    <s v="Marketing"/>
    <n v="1"/>
    <x v="768"/>
    <n v="3"/>
    <s v="Male"/>
    <n v="74"/>
    <n v="3"/>
    <n v="2"/>
    <x v="0"/>
    <x v="3"/>
    <s v="Married"/>
    <n v="8396"/>
    <n v="22217"/>
    <n v="1"/>
    <s v="Y"/>
    <x v="1"/>
    <n v="14"/>
    <n v="3"/>
    <n v="2"/>
    <n v="80"/>
    <n v="1"/>
    <n v="8"/>
    <n v="3"/>
    <x v="2"/>
    <n v="7"/>
    <n v="7"/>
    <n v="7"/>
    <n v="5"/>
    <x v="1"/>
    <x v="2"/>
  </r>
  <r>
    <n v="26"/>
    <x v="1"/>
    <s v="Travel_Frequently"/>
    <n v="921"/>
    <x v="1"/>
    <n v="1"/>
    <n v="1"/>
    <s v="Medical"/>
    <n v="1"/>
    <x v="769"/>
    <n v="1"/>
    <s v="Female"/>
    <n v="66"/>
    <n v="2"/>
    <n v="1"/>
    <x v="1"/>
    <x v="2"/>
    <s v="Divorced"/>
    <n v="2007"/>
    <n v="25265"/>
    <n v="1"/>
    <s v="Y"/>
    <x v="1"/>
    <n v="13"/>
    <n v="3"/>
    <n v="3"/>
    <n v="80"/>
    <n v="2"/>
    <n v="5"/>
    <n v="5"/>
    <x v="1"/>
    <n v="5"/>
    <n v="3"/>
    <n v="1"/>
    <n v="3"/>
    <x v="2"/>
    <x v="1"/>
  </r>
  <r>
    <n v="46"/>
    <x v="1"/>
    <s v="Travel_Rarely"/>
    <n v="430"/>
    <x v="1"/>
    <n v="1"/>
    <n v="4"/>
    <s v="Medical"/>
    <n v="1"/>
    <x v="770"/>
    <n v="4"/>
    <s v="Male"/>
    <n v="40"/>
    <n v="3"/>
    <n v="5"/>
    <x v="7"/>
    <x v="0"/>
    <s v="Divorced"/>
    <n v="19627"/>
    <n v="21445"/>
    <n v="9"/>
    <s v="Y"/>
    <x v="1"/>
    <n v="17"/>
    <n v="3"/>
    <n v="4"/>
    <n v="80"/>
    <n v="2"/>
    <n v="23"/>
    <n v="0"/>
    <x v="1"/>
    <n v="2"/>
    <n v="2"/>
    <n v="2"/>
    <n v="2"/>
    <x v="0"/>
    <x v="2"/>
  </r>
  <r>
    <n v="54"/>
    <x v="1"/>
    <s v="Travel_Rarely"/>
    <n v="1082"/>
    <x v="0"/>
    <n v="2"/>
    <n v="4"/>
    <s v="Life Sciences"/>
    <n v="1"/>
    <x v="771"/>
    <n v="3"/>
    <s v="Female"/>
    <n v="41"/>
    <n v="2"/>
    <n v="3"/>
    <x v="0"/>
    <x v="2"/>
    <s v="Married"/>
    <n v="10686"/>
    <n v="8392"/>
    <n v="6"/>
    <s v="Y"/>
    <x v="1"/>
    <n v="11"/>
    <n v="3"/>
    <n v="2"/>
    <n v="80"/>
    <n v="1"/>
    <n v="13"/>
    <n v="4"/>
    <x v="1"/>
    <n v="9"/>
    <n v="4"/>
    <n v="7"/>
    <n v="0"/>
    <x v="3"/>
    <x v="2"/>
  </r>
  <r>
    <n v="56"/>
    <x v="1"/>
    <s v="Travel_Frequently"/>
    <n v="1240"/>
    <x v="1"/>
    <n v="9"/>
    <n v="3"/>
    <s v="Medical"/>
    <n v="1"/>
    <x v="772"/>
    <n v="1"/>
    <s v="Female"/>
    <n v="63"/>
    <n v="3"/>
    <n v="1"/>
    <x v="1"/>
    <x v="2"/>
    <s v="Married"/>
    <n v="2942"/>
    <n v="12154"/>
    <n v="2"/>
    <s v="Y"/>
    <x v="1"/>
    <n v="19"/>
    <n v="3"/>
    <n v="2"/>
    <n v="80"/>
    <n v="1"/>
    <n v="18"/>
    <n v="4"/>
    <x v="1"/>
    <n v="5"/>
    <n v="4"/>
    <n v="0"/>
    <n v="3"/>
    <x v="3"/>
    <x v="1"/>
  </r>
  <r>
    <n v="36"/>
    <x v="1"/>
    <s v="Travel_Rarely"/>
    <n v="796"/>
    <x v="1"/>
    <n v="12"/>
    <n v="5"/>
    <s v="Medical"/>
    <n v="1"/>
    <x v="773"/>
    <n v="4"/>
    <s v="Female"/>
    <n v="51"/>
    <n v="2"/>
    <n v="3"/>
    <x v="3"/>
    <x v="0"/>
    <s v="Single"/>
    <n v="8858"/>
    <n v="15669"/>
    <n v="0"/>
    <s v="Y"/>
    <x v="1"/>
    <n v="11"/>
    <n v="3"/>
    <n v="2"/>
    <n v="80"/>
    <n v="0"/>
    <n v="15"/>
    <n v="2"/>
    <x v="2"/>
    <n v="14"/>
    <n v="8"/>
    <n v="7"/>
    <n v="8"/>
    <x v="1"/>
    <x v="2"/>
  </r>
  <r>
    <n v="55"/>
    <x v="1"/>
    <s v="Non-Travel"/>
    <n v="444"/>
    <x v="1"/>
    <n v="2"/>
    <n v="1"/>
    <s v="Medical"/>
    <n v="1"/>
    <x v="774"/>
    <n v="3"/>
    <s v="Male"/>
    <n v="40"/>
    <n v="2"/>
    <n v="4"/>
    <x v="5"/>
    <x v="3"/>
    <s v="Single"/>
    <n v="16756"/>
    <n v="17323"/>
    <n v="7"/>
    <s v="Y"/>
    <x v="1"/>
    <n v="15"/>
    <n v="3"/>
    <n v="2"/>
    <n v="80"/>
    <n v="0"/>
    <n v="31"/>
    <n v="3"/>
    <x v="3"/>
    <n v="9"/>
    <n v="7"/>
    <n v="6"/>
    <n v="2"/>
    <x v="3"/>
    <x v="2"/>
  </r>
  <r>
    <n v="43"/>
    <x v="1"/>
    <s v="Travel_Rarely"/>
    <n v="415"/>
    <x v="0"/>
    <n v="25"/>
    <n v="3"/>
    <s v="Medical"/>
    <n v="1"/>
    <x v="775"/>
    <n v="3"/>
    <s v="Male"/>
    <n v="79"/>
    <n v="2"/>
    <n v="3"/>
    <x v="0"/>
    <x v="0"/>
    <s v="Divorced"/>
    <n v="10798"/>
    <n v="5268"/>
    <n v="5"/>
    <s v="Y"/>
    <x v="1"/>
    <n v="13"/>
    <n v="3"/>
    <n v="3"/>
    <n v="80"/>
    <n v="1"/>
    <n v="18"/>
    <n v="5"/>
    <x v="1"/>
    <n v="1"/>
    <n v="0"/>
    <n v="0"/>
    <n v="0"/>
    <x v="0"/>
    <x v="2"/>
  </r>
  <r>
    <n v="20"/>
    <x v="0"/>
    <s v="Travel_Frequently"/>
    <n v="769"/>
    <x v="0"/>
    <n v="9"/>
    <n v="3"/>
    <s v="Marketing"/>
    <n v="1"/>
    <x v="776"/>
    <n v="4"/>
    <s v="Female"/>
    <n v="54"/>
    <n v="3"/>
    <n v="1"/>
    <x v="6"/>
    <x v="0"/>
    <s v="Single"/>
    <n v="2323"/>
    <n v="17205"/>
    <n v="1"/>
    <s v="Y"/>
    <x v="0"/>
    <n v="14"/>
    <n v="3"/>
    <n v="2"/>
    <n v="80"/>
    <n v="0"/>
    <n v="2"/>
    <n v="3"/>
    <x v="1"/>
    <n v="2"/>
    <n v="2"/>
    <n v="0"/>
    <n v="2"/>
    <x v="2"/>
    <x v="1"/>
  </r>
  <r>
    <n v="21"/>
    <x v="0"/>
    <s v="Travel_Rarely"/>
    <n v="1334"/>
    <x v="1"/>
    <n v="10"/>
    <n v="3"/>
    <s v="Life Sciences"/>
    <n v="1"/>
    <x v="777"/>
    <n v="3"/>
    <s v="Female"/>
    <n v="36"/>
    <n v="2"/>
    <n v="1"/>
    <x v="2"/>
    <x v="3"/>
    <s v="Single"/>
    <n v="1416"/>
    <n v="17258"/>
    <n v="1"/>
    <s v="Y"/>
    <x v="1"/>
    <n v="13"/>
    <n v="3"/>
    <n v="1"/>
    <n v="80"/>
    <n v="0"/>
    <n v="1"/>
    <n v="6"/>
    <x v="2"/>
    <n v="1"/>
    <n v="0"/>
    <n v="1"/>
    <n v="0"/>
    <x v="2"/>
    <x v="1"/>
  </r>
  <r>
    <n v="46"/>
    <x v="1"/>
    <s v="Travel_Rarely"/>
    <n v="1003"/>
    <x v="1"/>
    <n v="8"/>
    <n v="4"/>
    <s v="Life Sciences"/>
    <n v="1"/>
    <x v="778"/>
    <n v="4"/>
    <s v="Female"/>
    <n v="74"/>
    <n v="2"/>
    <n v="2"/>
    <x v="1"/>
    <x v="3"/>
    <s v="Divorced"/>
    <n v="4615"/>
    <n v="21029"/>
    <n v="8"/>
    <s v="Y"/>
    <x v="0"/>
    <n v="23"/>
    <n v="4"/>
    <n v="1"/>
    <n v="80"/>
    <n v="3"/>
    <n v="19"/>
    <n v="2"/>
    <x v="1"/>
    <n v="16"/>
    <n v="13"/>
    <n v="1"/>
    <n v="7"/>
    <x v="0"/>
    <x v="0"/>
  </r>
  <r>
    <n v="51"/>
    <x v="0"/>
    <s v="Travel_Rarely"/>
    <n v="1323"/>
    <x v="1"/>
    <n v="4"/>
    <n v="4"/>
    <s v="Life Sciences"/>
    <n v="1"/>
    <x v="779"/>
    <n v="1"/>
    <s v="Male"/>
    <n v="34"/>
    <n v="3"/>
    <n v="1"/>
    <x v="1"/>
    <x v="2"/>
    <s v="Married"/>
    <n v="2461"/>
    <n v="10332"/>
    <n v="9"/>
    <s v="Y"/>
    <x v="0"/>
    <n v="12"/>
    <n v="3"/>
    <n v="3"/>
    <n v="80"/>
    <n v="3"/>
    <n v="18"/>
    <n v="2"/>
    <x v="3"/>
    <n v="10"/>
    <n v="0"/>
    <n v="2"/>
    <n v="7"/>
    <x v="3"/>
    <x v="1"/>
  </r>
  <r>
    <n v="28"/>
    <x v="0"/>
    <s v="Non-Travel"/>
    <n v="1366"/>
    <x v="1"/>
    <n v="24"/>
    <n v="2"/>
    <s v="Technical Degree"/>
    <n v="1"/>
    <x v="780"/>
    <n v="2"/>
    <s v="Male"/>
    <n v="72"/>
    <n v="2"/>
    <n v="3"/>
    <x v="4"/>
    <x v="3"/>
    <s v="Single"/>
    <n v="8722"/>
    <n v="12355"/>
    <n v="1"/>
    <s v="Y"/>
    <x v="1"/>
    <n v="12"/>
    <n v="3"/>
    <n v="1"/>
    <n v="80"/>
    <n v="0"/>
    <n v="10"/>
    <n v="2"/>
    <x v="2"/>
    <n v="10"/>
    <n v="7"/>
    <n v="1"/>
    <n v="9"/>
    <x v="2"/>
    <x v="2"/>
  </r>
  <r>
    <n v="26"/>
    <x v="1"/>
    <s v="Travel_Rarely"/>
    <n v="192"/>
    <x v="1"/>
    <n v="1"/>
    <n v="2"/>
    <s v="Medical"/>
    <n v="1"/>
    <x v="781"/>
    <n v="1"/>
    <s v="Male"/>
    <n v="59"/>
    <n v="2"/>
    <n v="1"/>
    <x v="2"/>
    <x v="3"/>
    <s v="Married"/>
    <n v="3955"/>
    <n v="11141"/>
    <n v="1"/>
    <s v="Y"/>
    <x v="1"/>
    <n v="16"/>
    <n v="3"/>
    <n v="1"/>
    <n v="80"/>
    <n v="2"/>
    <n v="6"/>
    <n v="2"/>
    <x v="1"/>
    <n v="5"/>
    <n v="3"/>
    <n v="1"/>
    <n v="3"/>
    <x v="2"/>
    <x v="1"/>
  </r>
  <r>
    <n v="30"/>
    <x v="1"/>
    <s v="Travel_Rarely"/>
    <n v="1176"/>
    <x v="1"/>
    <n v="20"/>
    <n v="3"/>
    <s v="Other"/>
    <n v="1"/>
    <x v="782"/>
    <n v="3"/>
    <s v="Male"/>
    <n v="85"/>
    <n v="3"/>
    <n v="2"/>
    <x v="3"/>
    <x v="3"/>
    <s v="Married"/>
    <n v="9957"/>
    <n v="9096"/>
    <n v="0"/>
    <s v="Y"/>
    <x v="1"/>
    <n v="15"/>
    <n v="3"/>
    <n v="3"/>
    <n v="80"/>
    <n v="1"/>
    <n v="7"/>
    <n v="1"/>
    <x v="2"/>
    <n v="6"/>
    <n v="2"/>
    <n v="0"/>
    <n v="2"/>
    <x v="1"/>
    <x v="2"/>
  </r>
  <r>
    <n v="41"/>
    <x v="1"/>
    <s v="Travel_Rarely"/>
    <n v="509"/>
    <x v="1"/>
    <n v="7"/>
    <n v="2"/>
    <s v="Technical Degree"/>
    <n v="1"/>
    <x v="783"/>
    <n v="2"/>
    <s v="Female"/>
    <n v="43"/>
    <n v="4"/>
    <n v="1"/>
    <x v="1"/>
    <x v="2"/>
    <s v="Married"/>
    <n v="3376"/>
    <n v="18863"/>
    <n v="1"/>
    <s v="Y"/>
    <x v="1"/>
    <n v="13"/>
    <n v="3"/>
    <n v="3"/>
    <n v="80"/>
    <n v="0"/>
    <n v="10"/>
    <n v="3"/>
    <x v="1"/>
    <n v="10"/>
    <n v="6"/>
    <n v="0"/>
    <n v="8"/>
    <x v="0"/>
    <x v="1"/>
  </r>
  <r>
    <n v="38"/>
    <x v="1"/>
    <s v="Travel_Rarely"/>
    <n v="330"/>
    <x v="1"/>
    <n v="17"/>
    <n v="1"/>
    <s v="Life Sciences"/>
    <n v="1"/>
    <x v="784"/>
    <n v="3"/>
    <s v="Female"/>
    <n v="65"/>
    <n v="2"/>
    <n v="3"/>
    <x v="4"/>
    <x v="2"/>
    <s v="Married"/>
    <n v="8823"/>
    <n v="24608"/>
    <n v="0"/>
    <s v="Y"/>
    <x v="1"/>
    <n v="18"/>
    <n v="3"/>
    <n v="1"/>
    <n v="80"/>
    <n v="1"/>
    <n v="20"/>
    <n v="4"/>
    <x v="2"/>
    <n v="19"/>
    <n v="9"/>
    <n v="1"/>
    <n v="9"/>
    <x v="1"/>
    <x v="2"/>
  </r>
  <r>
    <n v="40"/>
    <x v="1"/>
    <s v="Travel_Rarely"/>
    <n v="1492"/>
    <x v="1"/>
    <n v="20"/>
    <n v="4"/>
    <s v="Technical Degree"/>
    <n v="1"/>
    <x v="785"/>
    <n v="1"/>
    <s v="Male"/>
    <n v="61"/>
    <n v="3"/>
    <n v="3"/>
    <x v="4"/>
    <x v="0"/>
    <s v="Married"/>
    <n v="10322"/>
    <n v="26542"/>
    <n v="4"/>
    <s v="Y"/>
    <x v="1"/>
    <n v="20"/>
    <n v="4"/>
    <n v="4"/>
    <n v="80"/>
    <n v="1"/>
    <n v="14"/>
    <n v="6"/>
    <x v="1"/>
    <n v="11"/>
    <n v="10"/>
    <n v="11"/>
    <n v="1"/>
    <x v="1"/>
    <x v="2"/>
  </r>
  <r>
    <n v="27"/>
    <x v="1"/>
    <s v="Non-Travel"/>
    <n v="1277"/>
    <x v="1"/>
    <n v="8"/>
    <n v="5"/>
    <s v="Life Sciences"/>
    <n v="1"/>
    <x v="786"/>
    <n v="1"/>
    <s v="Male"/>
    <n v="87"/>
    <n v="1"/>
    <n v="1"/>
    <x v="2"/>
    <x v="2"/>
    <s v="Married"/>
    <n v="4621"/>
    <n v="5869"/>
    <n v="1"/>
    <s v="Y"/>
    <x v="1"/>
    <n v="19"/>
    <n v="3"/>
    <n v="4"/>
    <n v="80"/>
    <n v="3"/>
    <n v="3"/>
    <n v="4"/>
    <x v="1"/>
    <n v="3"/>
    <n v="2"/>
    <n v="1"/>
    <n v="2"/>
    <x v="2"/>
    <x v="0"/>
  </r>
  <r>
    <n v="55"/>
    <x v="1"/>
    <s v="Travel_Frequently"/>
    <n v="1091"/>
    <x v="1"/>
    <n v="2"/>
    <n v="1"/>
    <s v="Life Sciences"/>
    <n v="1"/>
    <x v="787"/>
    <n v="4"/>
    <s v="Male"/>
    <n v="65"/>
    <n v="3"/>
    <n v="3"/>
    <x v="3"/>
    <x v="1"/>
    <s v="Married"/>
    <n v="10976"/>
    <n v="15813"/>
    <n v="3"/>
    <s v="Y"/>
    <x v="1"/>
    <n v="18"/>
    <n v="3"/>
    <n v="2"/>
    <n v="80"/>
    <n v="1"/>
    <n v="23"/>
    <n v="4"/>
    <x v="1"/>
    <n v="3"/>
    <n v="2"/>
    <n v="1"/>
    <n v="2"/>
    <x v="3"/>
    <x v="2"/>
  </r>
  <r>
    <n v="28"/>
    <x v="1"/>
    <s v="Travel_Rarely"/>
    <n v="857"/>
    <x v="1"/>
    <n v="10"/>
    <n v="3"/>
    <s v="Other"/>
    <n v="1"/>
    <x v="788"/>
    <n v="3"/>
    <s v="Female"/>
    <n v="59"/>
    <n v="3"/>
    <n v="2"/>
    <x v="1"/>
    <x v="2"/>
    <s v="Single"/>
    <n v="3660"/>
    <n v="7909"/>
    <n v="3"/>
    <s v="Y"/>
    <x v="1"/>
    <n v="13"/>
    <n v="3"/>
    <n v="4"/>
    <n v="80"/>
    <n v="0"/>
    <n v="10"/>
    <n v="4"/>
    <x v="3"/>
    <n v="8"/>
    <n v="7"/>
    <n v="1"/>
    <n v="7"/>
    <x v="2"/>
    <x v="1"/>
  </r>
  <r>
    <n v="44"/>
    <x v="0"/>
    <s v="Travel_Rarely"/>
    <n v="1376"/>
    <x v="2"/>
    <n v="1"/>
    <n v="2"/>
    <s v="Medical"/>
    <n v="1"/>
    <x v="789"/>
    <n v="2"/>
    <s v="Male"/>
    <n v="91"/>
    <n v="2"/>
    <n v="3"/>
    <x v="8"/>
    <x v="3"/>
    <s v="Married"/>
    <n v="10482"/>
    <n v="2326"/>
    <n v="9"/>
    <s v="Y"/>
    <x v="1"/>
    <n v="14"/>
    <n v="3"/>
    <n v="4"/>
    <n v="80"/>
    <n v="1"/>
    <n v="24"/>
    <n v="1"/>
    <x v="1"/>
    <n v="20"/>
    <n v="6"/>
    <n v="3"/>
    <n v="6"/>
    <x v="0"/>
    <x v="2"/>
  </r>
  <r>
    <n v="33"/>
    <x v="1"/>
    <s v="Travel_Rarely"/>
    <n v="654"/>
    <x v="1"/>
    <n v="5"/>
    <n v="3"/>
    <s v="Life Sciences"/>
    <n v="1"/>
    <x v="790"/>
    <n v="4"/>
    <s v="Male"/>
    <n v="34"/>
    <n v="2"/>
    <n v="3"/>
    <x v="4"/>
    <x v="0"/>
    <s v="Divorced"/>
    <n v="7119"/>
    <n v="21214"/>
    <n v="4"/>
    <s v="Y"/>
    <x v="1"/>
    <n v="15"/>
    <n v="3"/>
    <n v="3"/>
    <n v="80"/>
    <n v="1"/>
    <n v="9"/>
    <n v="2"/>
    <x v="1"/>
    <n v="3"/>
    <n v="2"/>
    <n v="1"/>
    <n v="2"/>
    <x v="1"/>
    <x v="2"/>
  </r>
  <r>
    <n v="35"/>
    <x v="0"/>
    <s v="Travel_Rarely"/>
    <n v="1204"/>
    <x v="0"/>
    <n v="4"/>
    <n v="3"/>
    <s v="Technical Degree"/>
    <n v="1"/>
    <x v="791"/>
    <n v="4"/>
    <s v="Male"/>
    <n v="86"/>
    <n v="3"/>
    <n v="3"/>
    <x v="0"/>
    <x v="3"/>
    <s v="Single"/>
    <n v="9582"/>
    <n v="10333"/>
    <n v="0"/>
    <s v="Y"/>
    <x v="0"/>
    <n v="22"/>
    <n v="4"/>
    <n v="1"/>
    <n v="80"/>
    <n v="0"/>
    <n v="9"/>
    <n v="2"/>
    <x v="1"/>
    <n v="8"/>
    <n v="7"/>
    <n v="4"/>
    <n v="7"/>
    <x v="1"/>
    <x v="2"/>
  </r>
  <r>
    <n v="33"/>
    <x v="0"/>
    <s v="Travel_Frequently"/>
    <n v="827"/>
    <x v="1"/>
    <n v="29"/>
    <n v="4"/>
    <s v="Medical"/>
    <n v="1"/>
    <x v="792"/>
    <n v="1"/>
    <s v="Female"/>
    <n v="54"/>
    <n v="2"/>
    <n v="2"/>
    <x v="1"/>
    <x v="2"/>
    <s v="Single"/>
    <n v="4508"/>
    <n v="3129"/>
    <n v="1"/>
    <s v="Y"/>
    <x v="1"/>
    <n v="22"/>
    <n v="4"/>
    <n v="2"/>
    <n v="80"/>
    <n v="0"/>
    <n v="14"/>
    <n v="4"/>
    <x v="1"/>
    <n v="13"/>
    <n v="7"/>
    <n v="3"/>
    <n v="8"/>
    <x v="1"/>
    <x v="0"/>
  </r>
  <r>
    <n v="28"/>
    <x v="1"/>
    <s v="Travel_Rarely"/>
    <n v="895"/>
    <x v="1"/>
    <n v="15"/>
    <n v="2"/>
    <s v="Life Sciences"/>
    <n v="1"/>
    <x v="793"/>
    <n v="1"/>
    <s v="Male"/>
    <n v="50"/>
    <n v="3"/>
    <n v="1"/>
    <x v="2"/>
    <x v="2"/>
    <s v="Divorced"/>
    <n v="2207"/>
    <n v="22482"/>
    <n v="1"/>
    <s v="Y"/>
    <x v="1"/>
    <n v="16"/>
    <n v="3"/>
    <n v="4"/>
    <n v="80"/>
    <n v="1"/>
    <n v="4"/>
    <n v="5"/>
    <x v="2"/>
    <n v="4"/>
    <n v="2"/>
    <n v="2"/>
    <n v="2"/>
    <x v="2"/>
    <x v="1"/>
  </r>
  <r>
    <n v="34"/>
    <x v="1"/>
    <s v="Travel_Frequently"/>
    <n v="618"/>
    <x v="1"/>
    <n v="3"/>
    <n v="1"/>
    <s v="Life Sciences"/>
    <n v="1"/>
    <x v="794"/>
    <n v="1"/>
    <s v="Male"/>
    <n v="45"/>
    <n v="3"/>
    <n v="2"/>
    <x v="4"/>
    <x v="0"/>
    <s v="Single"/>
    <n v="7756"/>
    <n v="22266"/>
    <n v="0"/>
    <s v="Y"/>
    <x v="1"/>
    <n v="17"/>
    <n v="3"/>
    <n v="3"/>
    <n v="80"/>
    <n v="0"/>
    <n v="7"/>
    <n v="1"/>
    <x v="2"/>
    <n v="6"/>
    <n v="2"/>
    <n v="0"/>
    <n v="4"/>
    <x v="1"/>
    <x v="2"/>
  </r>
  <r>
    <n v="37"/>
    <x v="1"/>
    <s v="Travel_Rarely"/>
    <n v="309"/>
    <x v="0"/>
    <n v="10"/>
    <n v="4"/>
    <s v="Life Sciences"/>
    <n v="1"/>
    <x v="795"/>
    <n v="4"/>
    <s v="Female"/>
    <n v="88"/>
    <n v="2"/>
    <n v="2"/>
    <x v="0"/>
    <x v="0"/>
    <s v="Divorced"/>
    <n v="6694"/>
    <n v="24223"/>
    <n v="2"/>
    <s v="Y"/>
    <x v="0"/>
    <n v="14"/>
    <n v="3"/>
    <n v="3"/>
    <n v="80"/>
    <n v="3"/>
    <n v="8"/>
    <n v="5"/>
    <x v="1"/>
    <n v="1"/>
    <n v="0"/>
    <n v="0"/>
    <n v="0"/>
    <x v="1"/>
    <x v="0"/>
  </r>
  <r>
    <n v="25"/>
    <x v="0"/>
    <s v="Travel_Rarely"/>
    <n v="1219"/>
    <x v="1"/>
    <n v="4"/>
    <n v="1"/>
    <s v="Technical Degree"/>
    <n v="1"/>
    <x v="796"/>
    <n v="4"/>
    <s v="Male"/>
    <n v="32"/>
    <n v="3"/>
    <n v="1"/>
    <x v="2"/>
    <x v="0"/>
    <s v="Married"/>
    <n v="3691"/>
    <n v="4605"/>
    <n v="1"/>
    <s v="Y"/>
    <x v="0"/>
    <n v="15"/>
    <n v="3"/>
    <n v="2"/>
    <n v="80"/>
    <n v="1"/>
    <n v="7"/>
    <n v="3"/>
    <x v="3"/>
    <n v="7"/>
    <n v="7"/>
    <n v="5"/>
    <n v="6"/>
    <x v="2"/>
    <x v="1"/>
  </r>
  <r>
    <n v="26"/>
    <x v="0"/>
    <s v="Travel_Rarely"/>
    <n v="1330"/>
    <x v="1"/>
    <n v="21"/>
    <n v="3"/>
    <s v="Medical"/>
    <n v="1"/>
    <x v="797"/>
    <n v="1"/>
    <s v="Male"/>
    <n v="37"/>
    <n v="3"/>
    <n v="1"/>
    <x v="2"/>
    <x v="2"/>
    <s v="Divorced"/>
    <n v="2377"/>
    <n v="19373"/>
    <n v="1"/>
    <s v="Y"/>
    <x v="1"/>
    <n v="20"/>
    <n v="4"/>
    <n v="3"/>
    <n v="80"/>
    <n v="1"/>
    <n v="1"/>
    <n v="0"/>
    <x v="2"/>
    <n v="1"/>
    <n v="1"/>
    <n v="0"/>
    <n v="0"/>
    <x v="2"/>
    <x v="1"/>
  </r>
  <r>
    <n v="33"/>
    <x v="0"/>
    <s v="Travel_Rarely"/>
    <n v="1017"/>
    <x v="1"/>
    <n v="25"/>
    <n v="3"/>
    <s v="Medical"/>
    <n v="1"/>
    <x v="798"/>
    <n v="1"/>
    <s v="Male"/>
    <n v="55"/>
    <n v="2"/>
    <n v="1"/>
    <x v="1"/>
    <x v="1"/>
    <s v="Single"/>
    <n v="2313"/>
    <n v="2993"/>
    <n v="4"/>
    <s v="Y"/>
    <x v="0"/>
    <n v="20"/>
    <n v="4"/>
    <n v="2"/>
    <n v="80"/>
    <n v="0"/>
    <n v="5"/>
    <n v="0"/>
    <x v="1"/>
    <n v="2"/>
    <n v="2"/>
    <n v="2"/>
    <n v="2"/>
    <x v="1"/>
    <x v="1"/>
  </r>
  <r>
    <n v="42"/>
    <x v="1"/>
    <s v="Travel_Rarely"/>
    <n v="469"/>
    <x v="1"/>
    <n v="2"/>
    <n v="2"/>
    <s v="Medical"/>
    <n v="1"/>
    <x v="799"/>
    <n v="4"/>
    <s v="Male"/>
    <n v="35"/>
    <n v="3"/>
    <n v="4"/>
    <x v="5"/>
    <x v="3"/>
    <s v="Married"/>
    <n v="17665"/>
    <n v="14399"/>
    <n v="0"/>
    <s v="Y"/>
    <x v="1"/>
    <n v="17"/>
    <n v="3"/>
    <n v="4"/>
    <n v="80"/>
    <n v="1"/>
    <n v="23"/>
    <n v="3"/>
    <x v="1"/>
    <n v="22"/>
    <n v="6"/>
    <n v="13"/>
    <n v="7"/>
    <x v="0"/>
    <x v="2"/>
  </r>
  <r>
    <n v="28"/>
    <x v="0"/>
    <s v="Travel_Frequently"/>
    <n v="1009"/>
    <x v="1"/>
    <n v="1"/>
    <n v="3"/>
    <s v="Medical"/>
    <n v="1"/>
    <x v="800"/>
    <n v="1"/>
    <s v="Male"/>
    <n v="45"/>
    <n v="2"/>
    <n v="1"/>
    <x v="2"/>
    <x v="1"/>
    <s v="Divorced"/>
    <n v="2596"/>
    <n v="7160"/>
    <n v="1"/>
    <s v="Y"/>
    <x v="1"/>
    <n v="15"/>
    <n v="3"/>
    <n v="1"/>
    <n v="80"/>
    <n v="2"/>
    <n v="1"/>
    <n v="2"/>
    <x v="1"/>
    <n v="1"/>
    <n v="0"/>
    <n v="0"/>
    <n v="0"/>
    <x v="2"/>
    <x v="1"/>
  </r>
  <r>
    <n v="50"/>
    <x v="0"/>
    <s v="Travel_Frequently"/>
    <n v="959"/>
    <x v="0"/>
    <n v="1"/>
    <n v="4"/>
    <s v="Other"/>
    <n v="1"/>
    <x v="801"/>
    <n v="4"/>
    <s v="Male"/>
    <n v="81"/>
    <n v="3"/>
    <n v="2"/>
    <x v="0"/>
    <x v="2"/>
    <s v="Single"/>
    <n v="4728"/>
    <n v="17251"/>
    <n v="3"/>
    <s v="Y"/>
    <x v="0"/>
    <n v="14"/>
    <n v="3"/>
    <n v="4"/>
    <n v="80"/>
    <n v="0"/>
    <n v="5"/>
    <n v="4"/>
    <x v="1"/>
    <n v="0"/>
    <n v="0"/>
    <n v="0"/>
    <n v="0"/>
    <x v="0"/>
    <x v="0"/>
  </r>
  <r>
    <n v="33"/>
    <x v="1"/>
    <s v="Travel_Frequently"/>
    <n v="970"/>
    <x v="0"/>
    <n v="7"/>
    <n v="3"/>
    <s v="Life Sciences"/>
    <n v="1"/>
    <x v="802"/>
    <n v="4"/>
    <s v="Female"/>
    <n v="30"/>
    <n v="3"/>
    <n v="2"/>
    <x v="0"/>
    <x v="1"/>
    <s v="Married"/>
    <n v="4302"/>
    <n v="13401"/>
    <n v="0"/>
    <s v="Y"/>
    <x v="1"/>
    <n v="17"/>
    <n v="3"/>
    <n v="3"/>
    <n v="80"/>
    <n v="1"/>
    <n v="4"/>
    <n v="3"/>
    <x v="1"/>
    <n v="3"/>
    <n v="2"/>
    <n v="0"/>
    <n v="2"/>
    <x v="1"/>
    <x v="0"/>
  </r>
  <r>
    <n v="34"/>
    <x v="1"/>
    <s v="Non-Travel"/>
    <n v="697"/>
    <x v="1"/>
    <n v="3"/>
    <n v="4"/>
    <s v="Life Sciences"/>
    <n v="1"/>
    <x v="803"/>
    <n v="3"/>
    <s v="Male"/>
    <n v="40"/>
    <n v="2"/>
    <n v="1"/>
    <x v="1"/>
    <x v="0"/>
    <s v="Married"/>
    <n v="2979"/>
    <n v="22478"/>
    <n v="3"/>
    <s v="Y"/>
    <x v="1"/>
    <n v="17"/>
    <n v="3"/>
    <n v="4"/>
    <n v="80"/>
    <n v="3"/>
    <n v="6"/>
    <n v="2"/>
    <x v="1"/>
    <n v="0"/>
    <n v="0"/>
    <n v="0"/>
    <n v="0"/>
    <x v="1"/>
    <x v="1"/>
  </r>
  <r>
    <n v="48"/>
    <x v="1"/>
    <s v="Non-Travel"/>
    <n v="1262"/>
    <x v="1"/>
    <n v="1"/>
    <n v="4"/>
    <s v="Medical"/>
    <n v="1"/>
    <x v="804"/>
    <n v="1"/>
    <s v="Male"/>
    <n v="35"/>
    <n v="4"/>
    <n v="4"/>
    <x v="5"/>
    <x v="0"/>
    <s v="Single"/>
    <n v="16885"/>
    <n v="16154"/>
    <n v="2"/>
    <s v="Y"/>
    <x v="1"/>
    <n v="22"/>
    <n v="4"/>
    <n v="3"/>
    <n v="80"/>
    <n v="0"/>
    <n v="27"/>
    <n v="3"/>
    <x v="2"/>
    <n v="5"/>
    <n v="4"/>
    <n v="2"/>
    <n v="1"/>
    <x v="0"/>
    <x v="2"/>
  </r>
  <r>
    <n v="45"/>
    <x v="1"/>
    <s v="Non-Travel"/>
    <n v="1050"/>
    <x v="0"/>
    <n v="9"/>
    <n v="4"/>
    <s v="Life Sciences"/>
    <n v="1"/>
    <x v="805"/>
    <n v="2"/>
    <s v="Female"/>
    <n v="65"/>
    <n v="2"/>
    <n v="2"/>
    <x v="0"/>
    <x v="2"/>
    <s v="Married"/>
    <n v="5593"/>
    <n v="17970"/>
    <n v="1"/>
    <s v="Y"/>
    <x v="1"/>
    <n v="13"/>
    <n v="3"/>
    <n v="4"/>
    <n v="80"/>
    <n v="1"/>
    <n v="15"/>
    <n v="2"/>
    <x v="1"/>
    <n v="15"/>
    <n v="10"/>
    <n v="4"/>
    <n v="12"/>
    <x v="0"/>
    <x v="0"/>
  </r>
  <r>
    <n v="52"/>
    <x v="1"/>
    <s v="Travel_Rarely"/>
    <n v="994"/>
    <x v="1"/>
    <n v="7"/>
    <n v="4"/>
    <s v="Life Sciences"/>
    <n v="1"/>
    <x v="806"/>
    <n v="2"/>
    <s v="Male"/>
    <n v="87"/>
    <n v="3"/>
    <n v="3"/>
    <x v="4"/>
    <x v="1"/>
    <s v="Single"/>
    <n v="10445"/>
    <n v="15322"/>
    <n v="7"/>
    <s v="Y"/>
    <x v="1"/>
    <n v="19"/>
    <n v="3"/>
    <n v="4"/>
    <n v="80"/>
    <n v="0"/>
    <n v="18"/>
    <n v="4"/>
    <x v="1"/>
    <n v="8"/>
    <n v="6"/>
    <n v="4"/>
    <n v="0"/>
    <x v="3"/>
    <x v="2"/>
  </r>
  <r>
    <n v="38"/>
    <x v="1"/>
    <s v="Travel_Rarely"/>
    <n v="770"/>
    <x v="0"/>
    <n v="10"/>
    <n v="4"/>
    <s v="Marketing"/>
    <n v="1"/>
    <x v="807"/>
    <n v="3"/>
    <s v="Male"/>
    <n v="73"/>
    <n v="2"/>
    <n v="3"/>
    <x v="0"/>
    <x v="2"/>
    <s v="Divorced"/>
    <n v="8740"/>
    <n v="5569"/>
    <n v="0"/>
    <s v="Y"/>
    <x v="0"/>
    <n v="14"/>
    <n v="3"/>
    <n v="2"/>
    <n v="80"/>
    <n v="2"/>
    <n v="9"/>
    <n v="2"/>
    <x v="1"/>
    <n v="8"/>
    <n v="7"/>
    <n v="2"/>
    <n v="7"/>
    <x v="1"/>
    <x v="2"/>
  </r>
  <r>
    <n v="29"/>
    <x v="1"/>
    <s v="Travel_Rarely"/>
    <n v="1107"/>
    <x v="1"/>
    <n v="28"/>
    <n v="4"/>
    <s v="Life Sciences"/>
    <n v="1"/>
    <x v="808"/>
    <n v="3"/>
    <s v="Female"/>
    <n v="93"/>
    <n v="3"/>
    <n v="1"/>
    <x v="1"/>
    <x v="0"/>
    <s v="Divorced"/>
    <n v="2514"/>
    <n v="26968"/>
    <n v="4"/>
    <s v="Y"/>
    <x v="1"/>
    <n v="22"/>
    <n v="4"/>
    <n v="1"/>
    <n v="80"/>
    <n v="1"/>
    <n v="11"/>
    <n v="1"/>
    <x v="1"/>
    <n v="7"/>
    <n v="5"/>
    <n v="1"/>
    <n v="7"/>
    <x v="2"/>
    <x v="1"/>
  </r>
  <r>
    <n v="28"/>
    <x v="1"/>
    <s v="Travel_Rarely"/>
    <n v="950"/>
    <x v="1"/>
    <n v="3"/>
    <n v="3"/>
    <s v="Medical"/>
    <n v="1"/>
    <x v="809"/>
    <n v="4"/>
    <s v="Female"/>
    <n v="93"/>
    <n v="3"/>
    <n v="3"/>
    <x v="3"/>
    <x v="1"/>
    <s v="Divorced"/>
    <n v="7655"/>
    <n v="8039"/>
    <n v="0"/>
    <s v="Y"/>
    <x v="1"/>
    <n v="17"/>
    <n v="3"/>
    <n v="2"/>
    <n v="80"/>
    <n v="3"/>
    <n v="10"/>
    <n v="3"/>
    <x v="2"/>
    <n v="9"/>
    <n v="7"/>
    <n v="1"/>
    <n v="7"/>
    <x v="2"/>
    <x v="2"/>
  </r>
  <r>
    <n v="46"/>
    <x v="1"/>
    <s v="Travel_Rarely"/>
    <n v="406"/>
    <x v="0"/>
    <n v="3"/>
    <n v="1"/>
    <s v="Marketing"/>
    <n v="1"/>
    <x v="810"/>
    <n v="1"/>
    <s v="Male"/>
    <n v="52"/>
    <n v="3"/>
    <n v="4"/>
    <x v="5"/>
    <x v="2"/>
    <s v="Married"/>
    <n v="17465"/>
    <n v="15596"/>
    <n v="3"/>
    <s v="Y"/>
    <x v="1"/>
    <n v="12"/>
    <n v="3"/>
    <n v="4"/>
    <n v="80"/>
    <n v="1"/>
    <n v="23"/>
    <n v="3"/>
    <x v="1"/>
    <n v="12"/>
    <n v="9"/>
    <n v="4"/>
    <n v="9"/>
    <x v="0"/>
    <x v="2"/>
  </r>
  <r>
    <n v="38"/>
    <x v="1"/>
    <s v="Travel_Rarely"/>
    <n v="130"/>
    <x v="0"/>
    <n v="2"/>
    <n v="2"/>
    <s v="Marketing"/>
    <n v="1"/>
    <x v="811"/>
    <n v="4"/>
    <s v="Male"/>
    <n v="32"/>
    <n v="3"/>
    <n v="3"/>
    <x v="0"/>
    <x v="1"/>
    <s v="Single"/>
    <n v="7351"/>
    <n v="20619"/>
    <n v="7"/>
    <s v="Y"/>
    <x v="1"/>
    <n v="16"/>
    <n v="3"/>
    <n v="3"/>
    <n v="80"/>
    <n v="0"/>
    <n v="10"/>
    <n v="2"/>
    <x v="1"/>
    <n v="1"/>
    <n v="0"/>
    <n v="0"/>
    <n v="0"/>
    <x v="1"/>
    <x v="2"/>
  </r>
  <r>
    <n v="43"/>
    <x v="1"/>
    <s v="Travel_Frequently"/>
    <n v="1082"/>
    <x v="1"/>
    <n v="27"/>
    <n v="3"/>
    <s v="Life Sciences"/>
    <n v="1"/>
    <x v="812"/>
    <n v="3"/>
    <s v="Female"/>
    <n v="83"/>
    <n v="3"/>
    <n v="3"/>
    <x v="3"/>
    <x v="3"/>
    <s v="Married"/>
    <n v="10820"/>
    <n v="11535"/>
    <n v="8"/>
    <s v="Y"/>
    <x v="1"/>
    <n v="11"/>
    <n v="3"/>
    <n v="3"/>
    <n v="80"/>
    <n v="1"/>
    <n v="18"/>
    <n v="1"/>
    <x v="1"/>
    <n v="8"/>
    <n v="7"/>
    <n v="0"/>
    <n v="1"/>
    <x v="0"/>
    <x v="2"/>
  </r>
  <r>
    <n v="39"/>
    <x v="0"/>
    <s v="Travel_Frequently"/>
    <n v="203"/>
    <x v="1"/>
    <n v="2"/>
    <n v="3"/>
    <s v="Life Sciences"/>
    <n v="1"/>
    <x v="813"/>
    <n v="1"/>
    <s v="Male"/>
    <n v="84"/>
    <n v="3"/>
    <n v="4"/>
    <x v="4"/>
    <x v="0"/>
    <s v="Divorced"/>
    <n v="12169"/>
    <n v="13547"/>
    <n v="7"/>
    <s v="Y"/>
    <x v="1"/>
    <n v="11"/>
    <n v="3"/>
    <n v="4"/>
    <n v="80"/>
    <n v="3"/>
    <n v="21"/>
    <n v="4"/>
    <x v="1"/>
    <n v="18"/>
    <n v="7"/>
    <n v="11"/>
    <n v="5"/>
    <x v="1"/>
    <x v="2"/>
  </r>
  <r>
    <n v="40"/>
    <x v="1"/>
    <s v="Travel_Rarely"/>
    <n v="1308"/>
    <x v="1"/>
    <n v="14"/>
    <n v="3"/>
    <s v="Medical"/>
    <n v="1"/>
    <x v="814"/>
    <n v="3"/>
    <s v="Male"/>
    <n v="44"/>
    <n v="2"/>
    <n v="5"/>
    <x v="7"/>
    <x v="2"/>
    <s v="Single"/>
    <n v="19626"/>
    <n v="17544"/>
    <n v="1"/>
    <s v="Y"/>
    <x v="1"/>
    <n v="14"/>
    <n v="3"/>
    <n v="1"/>
    <n v="80"/>
    <n v="0"/>
    <n v="21"/>
    <n v="2"/>
    <x v="3"/>
    <n v="20"/>
    <n v="7"/>
    <n v="4"/>
    <n v="9"/>
    <x v="1"/>
    <x v="2"/>
  </r>
  <r>
    <n v="21"/>
    <x v="1"/>
    <s v="Travel_Rarely"/>
    <n v="984"/>
    <x v="1"/>
    <n v="1"/>
    <n v="1"/>
    <s v="Technical Degree"/>
    <n v="1"/>
    <x v="815"/>
    <n v="4"/>
    <s v="Female"/>
    <n v="70"/>
    <n v="2"/>
    <n v="1"/>
    <x v="1"/>
    <x v="1"/>
    <s v="Single"/>
    <n v="2070"/>
    <n v="25326"/>
    <n v="1"/>
    <s v="Y"/>
    <x v="0"/>
    <n v="11"/>
    <n v="3"/>
    <n v="3"/>
    <n v="80"/>
    <n v="0"/>
    <n v="2"/>
    <n v="6"/>
    <x v="3"/>
    <n v="2"/>
    <n v="2"/>
    <n v="2"/>
    <n v="2"/>
    <x v="2"/>
    <x v="1"/>
  </r>
  <r>
    <n v="39"/>
    <x v="1"/>
    <s v="Non-Travel"/>
    <n v="439"/>
    <x v="1"/>
    <n v="9"/>
    <n v="3"/>
    <s v="Life Sciences"/>
    <n v="1"/>
    <x v="816"/>
    <n v="3"/>
    <s v="Male"/>
    <n v="70"/>
    <n v="3"/>
    <n v="2"/>
    <x v="2"/>
    <x v="1"/>
    <s v="Single"/>
    <n v="6782"/>
    <n v="8770"/>
    <n v="9"/>
    <s v="Y"/>
    <x v="1"/>
    <n v="15"/>
    <n v="3"/>
    <n v="3"/>
    <n v="80"/>
    <n v="0"/>
    <n v="9"/>
    <n v="2"/>
    <x v="2"/>
    <n v="5"/>
    <n v="4"/>
    <n v="0"/>
    <n v="3"/>
    <x v="1"/>
    <x v="0"/>
  </r>
  <r>
    <n v="36"/>
    <x v="1"/>
    <s v="Non-Travel"/>
    <n v="217"/>
    <x v="1"/>
    <n v="18"/>
    <n v="4"/>
    <s v="Life Sciences"/>
    <n v="1"/>
    <x v="817"/>
    <n v="1"/>
    <s v="Male"/>
    <n v="78"/>
    <n v="3"/>
    <n v="2"/>
    <x v="3"/>
    <x v="0"/>
    <s v="Single"/>
    <n v="7779"/>
    <n v="23238"/>
    <n v="2"/>
    <s v="Y"/>
    <x v="1"/>
    <n v="20"/>
    <n v="4"/>
    <n v="1"/>
    <n v="80"/>
    <n v="0"/>
    <n v="18"/>
    <n v="0"/>
    <x v="1"/>
    <n v="11"/>
    <n v="9"/>
    <n v="0"/>
    <n v="9"/>
    <x v="1"/>
    <x v="2"/>
  </r>
  <r>
    <n v="31"/>
    <x v="1"/>
    <s v="Travel_Frequently"/>
    <n v="793"/>
    <x v="0"/>
    <n v="20"/>
    <n v="3"/>
    <s v="Life Sciences"/>
    <n v="1"/>
    <x v="818"/>
    <n v="3"/>
    <s v="Male"/>
    <n v="67"/>
    <n v="4"/>
    <n v="1"/>
    <x v="6"/>
    <x v="0"/>
    <s v="Married"/>
    <n v="2791"/>
    <n v="21981"/>
    <n v="0"/>
    <s v="Y"/>
    <x v="1"/>
    <n v="12"/>
    <n v="3"/>
    <n v="1"/>
    <n v="80"/>
    <n v="1"/>
    <n v="3"/>
    <n v="4"/>
    <x v="1"/>
    <n v="2"/>
    <n v="2"/>
    <n v="2"/>
    <n v="2"/>
    <x v="1"/>
    <x v="1"/>
  </r>
  <r>
    <n v="28"/>
    <x v="1"/>
    <s v="Travel_Rarely"/>
    <n v="1451"/>
    <x v="1"/>
    <n v="2"/>
    <n v="1"/>
    <s v="Life Sciences"/>
    <n v="1"/>
    <x v="819"/>
    <n v="1"/>
    <s v="Male"/>
    <n v="67"/>
    <n v="2"/>
    <n v="1"/>
    <x v="1"/>
    <x v="1"/>
    <s v="Married"/>
    <n v="3201"/>
    <n v="19911"/>
    <n v="0"/>
    <s v="Y"/>
    <x v="1"/>
    <n v="17"/>
    <n v="3"/>
    <n v="1"/>
    <n v="80"/>
    <n v="0"/>
    <n v="6"/>
    <n v="2"/>
    <x v="0"/>
    <n v="5"/>
    <n v="3"/>
    <n v="0"/>
    <n v="4"/>
    <x v="2"/>
    <x v="1"/>
  </r>
  <r>
    <n v="35"/>
    <x v="1"/>
    <s v="Travel_Frequently"/>
    <n v="1182"/>
    <x v="0"/>
    <n v="11"/>
    <n v="2"/>
    <s v="Marketing"/>
    <n v="1"/>
    <x v="820"/>
    <n v="4"/>
    <s v="Male"/>
    <n v="54"/>
    <n v="3"/>
    <n v="2"/>
    <x v="0"/>
    <x v="0"/>
    <s v="Divorced"/>
    <n v="4968"/>
    <n v="18500"/>
    <n v="1"/>
    <s v="Y"/>
    <x v="1"/>
    <n v="11"/>
    <n v="3"/>
    <n v="4"/>
    <n v="80"/>
    <n v="1"/>
    <n v="5"/>
    <n v="3"/>
    <x v="1"/>
    <n v="5"/>
    <n v="2"/>
    <n v="0"/>
    <n v="2"/>
    <x v="1"/>
    <x v="0"/>
  </r>
  <r>
    <n v="49"/>
    <x v="1"/>
    <s v="Travel_Rarely"/>
    <n v="174"/>
    <x v="0"/>
    <n v="8"/>
    <n v="4"/>
    <s v="Technical Degree"/>
    <n v="1"/>
    <x v="821"/>
    <n v="4"/>
    <s v="Male"/>
    <n v="56"/>
    <n v="2"/>
    <n v="4"/>
    <x v="0"/>
    <x v="1"/>
    <s v="Married"/>
    <n v="13120"/>
    <n v="11879"/>
    <n v="6"/>
    <s v="Y"/>
    <x v="1"/>
    <n v="17"/>
    <n v="3"/>
    <n v="2"/>
    <n v="80"/>
    <n v="1"/>
    <n v="22"/>
    <n v="3"/>
    <x v="1"/>
    <n v="9"/>
    <n v="8"/>
    <n v="2"/>
    <n v="3"/>
    <x v="0"/>
    <x v="2"/>
  </r>
  <r>
    <n v="34"/>
    <x v="1"/>
    <s v="Travel_Frequently"/>
    <n v="1003"/>
    <x v="1"/>
    <n v="2"/>
    <n v="2"/>
    <s v="Life Sciences"/>
    <n v="1"/>
    <x v="822"/>
    <n v="4"/>
    <s v="Male"/>
    <n v="95"/>
    <n v="3"/>
    <n v="2"/>
    <x v="3"/>
    <x v="2"/>
    <s v="Single"/>
    <n v="4033"/>
    <n v="15834"/>
    <n v="2"/>
    <s v="Y"/>
    <x v="1"/>
    <n v="11"/>
    <n v="3"/>
    <n v="4"/>
    <n v="80"/>
    <n v="0"/>
    <n v="5"/>
    <n v="3"/>
    <x v="2"/>
    <n v="3"/>
    <n v="2"/>
    <n v="0"/>
    <n v="2"/>
    <x v="1"/>
    <x v="0"/>
  </r>
  <r>
    <n v="29"/>
    <x v="1"/>
    <s v="Travel_Frequently"/>
    <n v="490"/>
    <x v="1"/>
    <n v="10"/>
    <n v="3"/>
    <s v="Life Sciences"/>
    <n v="1"/>
    <x v="823"/>
    <n v="4"/>
    <s v="Female"/>
    <n v="61"/>
    <n v="3"/>
    <n v="1"/>
    <x v="1"/>
    <x v="1"/>
    <s v="Divorced"/>
    <n v="3291"/>
    <n v="17940"/>
    <n v="0"/>
    <s v="Y"/>
    <x v="1"/>
    <n v="14"/>
    <n v="3"/>
    <n v="4"/>
    <n v="80"/>
    <n v="2"/>
    <n v="8"/>
    <n v="2"/>
    <x v="2"/>
    <n v="7"/>
    <n v="5"/>
    <n v="1"/>
    <n v="1"/>
    <x v="2"/>
    <x v="1"/>
  </r>
  <r>
    <n v="42"/>
    <x v="1"/>
    <s v="Travel_Rarely"/>
    <n v="188"/>
    <x v="1"/>
    <n v="29"/>
    <n v="3"/>
    <s v="Medical"/>
    <n v="1"/>
    <x v="824"/>
    <n v="2"/>
    <s v="Male"/>
    <n v="56"/>
    <n v="1"/>
    <n v="2"/>
    <x v="2"/>
    <x v="0"/>
    <s v="Single"/>
    <n v="4272"/>
    <n v="9558"/>
    <n v="4"/>
    <s v="Y"/>
    <x v="1"/>
    <n v="19"/>
    <n v="3"/>
    <n v="1"/>
    <n v="80"/>
    <n v="0"/>
    <n v="16"/>
    <n v="3"/>
    <x v="1"/>
    <n v="1"/>
    <n v="0"/>
    <n v="0"/>
    <n v="0"/>
    <x v="0"/>
    <x v="0"/>
  </r>
  <r>
    <n v="29"/>
    <x v="1"/>
    <s v="Travel_Rarely"/>
    <n v="718"/>
    <x v="1"/>
    <n v="8"/>
    <n v="1"/>
    <s v="Medical"/>
    <n v="1"/>
    <x v="825"/>
    <n v="2"/>
    <s v="Male"/>
    <n v="79"/>
    <n v="2"/>
    <n v="2"/>
    <x v="3"/>
    <x v="0"/>
    <s v="Married"/>
    <n v="5056"/>
    <n v="17689"/>
    <n v="1"/>
    <s v="Y"/>
    <x v="0"/>
    <n v="15"/>
    <n v="3"/>
    <n v="3"/>
    <n v="80"/>
    <n v="1"/>
    <n v="10"/>
    <n v="2"/>
    <x v="2"/>
    <n v="10"/>
    <n v="7"/>
    <n v="1"/>
    <n v="2"/>
    <x v="2"/>
    <x v="0"/>
  </r>
  <r>
    <n v="38"/>
    <x v="1"/>
    <s v="Travel_Rarely"/>
    <n v="433"/>
    <x v="2"/>
    <n v="1"/>
    <n v="3"/>
    <s v="Human Resources"/>
    <n v="1"/>
    <x v="826"/>
    <n v="3"/>
    <s v="Male"/>
    <n v="37"/>
    <n v="4"/>
    <n v="1"/>
    <x v="8"/>
    <x v="2"/>
    <s v="Married"/>
    <n v="2844"/>
    <n v="6004"/>
    <n v="1"/>
    <s v="Y"/>
    <x v="1"/>
    <n v="13"/>
    <n v="3"/>
    <n v="4"/>
    <n v="80"/>
    <n v="1"/>
    <n v="7"/>
    <n v="2"/>
    <x v="3"/>
    <n v="7"/>
    <n v="6"/>
    <n v="5"/>
    <n v="0"/>
    <x v="1"/>
    <x v="1"/>
  </r>
  <r>
    <n v="28"/>
    <x v="1"/>
    <s v="Travel_Frequently"/>
    <n v="773"/>
    <x v="1"/>
    <n v="6"/>
    <n v="3"/>
    <s v="Life Sciences"/>
    <n v="1"/>
    <x v="827"/>
    <n v="3"/>
    <s v="Male"/>
    <n v="39"/>
    <n v="2"/>
    <n v="1"/>
    <x v="1"/>
    <x v="2"/>
    <s v="Divorced"/>
    <n v="2703"/>
    <n v="22088"/>
    <n v="1"/>
    <s v="Y"/>
    <x v="0"/>
    <n v="14"/>
    <n v="3"/>
    <n v="4"/>
    <n v="80"/>
    <n v="1"/>
    <n v="3"/>
    <n v="2"/>
    <x v="1"/>
    <n v="3"/>
    <n v="1"/>
    <n v="0"/>
    <n v="2"/>
    <x v="2"/>
    <x v="1"/>
  </r>
  <r>
    <n v="18"/>
    <x v="0"/>
    <s v="Non-Travel"/>
    <n v="247"/>
    <x v="1"/>
    <n v="8"/>
    <n v="1"/>
    <s v="Medical"/>
    <n v="1"/>
    <x v="828"/>
    <n v="3"/>
    <s v="Male"/>
    <n v="80"/>
    <n v="3"/>
    <n v="1"/>
    <x v="2"/>
    <x v="2"/>
    <s v="Single"/>
    <n v="1904"/>
    <n v="13556"/>
    <n v="1"/>
    <s v="Y"/>
    <x v="1"/>
    <n v="12"/>
    <n v="3"/>
    <n v="4"/>
    <n v="80"/>
    <n v="0"/>
    <n v="0"/>
    <n v="0"/>
    <x v="1"/>
    <n v="0"/>
    <n v="0"/>
    <n v="0"/>
    <n v="0"/>
    <x v="2"/>
    <x v="1"/>
  </r>
  <r>
    <n v="33"/>
    <x v="0"/>
    <s v="Travel_Rarely"/>
    <n v="603"/>
    <x v="0"/>
    <n v="9"/>
    <n v="4"/>
    <s v="Marketing"/>
    <n v="1"/>
    <x v="829"/>
    <n v="1"/>
    <s v="Female"/>
    <n v="77"/>
    <n v="3"/>
    <n v="2"/>
    <x v="0"/>
    <x v="3"/>
    <s v="Single"/>
    <n v="8224"/>
    <n v="18385"/>
    <n v="0"/>
    <s v="Y"/>
    <x v="0"/>
    <n v="17"/>
    <n v="3"/>
    <n v="1"/>
    <n v="80"/>
    <n v="0"/>
    <n v="6"/>
    <n v="3"/>
    <x v="1"/>
    <n v="5"/>
    <n v="2"/>
    <n v="0"/>
    <n v="3"/>
    <x v="1"/>
    <x v="2"/>
  </r>
  <r>
    <n v="41"/>
    <x v="1"/>
    <s v="Travel_Rarely"/>
    <n v="167"/>
    <x v="1"/>
    <n v="12"/>
    <n v="4"/>
    <s v="Life Sciences"/>
    <n v="1"/>
    <x v="830"/>
    <n v="2"/>
    <s v="Male"/>
    <n v="46"/>
    <n v="3"/>
    <n v="1"/>
    <x v="2"/>
    <x v="0"/>
    <s v="Married"/>
    <n v="4766"/>
    <n v="9051"/>
    <n v="3"/>
    <s v="Y"/>
    <x v="0"/>
    <n v="11"/>
    <n v="3"/>
    <n v="1"/>
    <n v="80"/>
    <n v="1"/>
    <n v="6"/>
    <n v="4"/>
    <x v="1"/>
    <n v="1"/>
    <n v="0"/>
    <n v="0"/>
    <n v="0"/>
    <x v="0"/>
    <x v="0"/>
  </r>
  <r>
    <n v="31"/>
    <x v="0"/>
    <s v="Travel_Frequently"/>
    <n v="874"/>
    <x v="1"/>
    <n v="15"/>
    <n v="3"/>
    <s v="Medical"/>
    <n v="1"/>
    <x v="831"/>
    <n v="3"/>
    <s v="Male"/>
    <n v="72"/>
    <n v="3"/>
    <n v="1"/>
    <x v="2"/>
    <x v="2"/>
    <s v="Married"/>
    <n v="2610"/>
    <n v="6233"/>
    <n v="1"/>
    <s v="Y"/>
    <x v="1"/>
    <n v="12"/>
    <n v="3"/>
    <n v="3"/>
    <n v="80"/>
    <n v="1"/>
    <n v="2"/>
    <n v="5"/>
    <x v="2"/>
    <n v="2"/>
    <n v="2"/>
    <n v="2"/>
    <n v="2"/>
    <x v="1"/>
    <x v="1"/>
  </r>
  <r>
    <n v="37"/>
    <x v="1"/>
    <s v="Travel_Rarely"/>
    <n v="367"/>
    <x v="1"/>
    <n v="25"/>
    <n v="2"/>
    <s v="Medical"/>
    <n v="1"/>
    <x v="832"/>
    <n v="3"/>
    <s v="Female"/>
    <n v="52"/>
    <n v="2"/>
    <n v="2"/>
    <x v="4"/>
    <x v="0"/>
    <s v="Divorced"/>
    <n v="5731"/>
    <n v="17171"/>
    <n v="7"/>
    <s v="Y"/>
    <x v="1"/>
    <n v="13"/>
    <n v="3"/>
    <n v="3"/>
    <n v="80"/>
    <n v="2"/>
    <n v="9"/>
    <n v="2"/>
    <x v="1"/>
    <n v="6"/>
    <n v="2"/>
    <n v="1"/>
    <n v="3"/>
    <x v="1"/>
    <x v="0"/>
  </r>
  <r>
    <n v="27"/>
    <x v="1"/>
    <s v="Travel_Rarely"/>
    <n v="199"/>
    <x v="1"/>
    <n v="6"/>
    <n v="3"/>
    <s v="Life Sciences"/>
    <n v="1"/>
    <x v="833"/>
    <n v="4"/>
    <s v="Male"/>
    <n v="55"/>
    <n v="2"/>
    <n v="1"/>
    <x v="1"/>
    <x v="2"/>
    <s v="Married"/>
    <n v="2539"/>
    <n v="7950"/>
    <n v="1"/>
    <s v="Y"/>
    <x v="1"/>
    <n v="13"/>
    <n v="3"/>
    <n v="3"/>
    <n v="80"/>
    <n v="1"/>
    <n v="4"/>
    <n v="0"/>
    <x v="1"/>
    <n v="4"/>
    <n v="2"/>
    <n v="2"/>
    <n v="2"/>
    <x v="2"/>
    <x v="1"/>
  </r>
  <r>
    <n v="34"/>
    <x v="1"/>
    <s v="Travel_Rarely"/>
    <n v="1400"/>
    <x v="0"/>
    <n v="9"/>
    <n v="1"/>
    <s v="Life Sciences"/>
    <n v="1"/>
    <x v="834"/>
    <n v="2"/>
    <s v="Female"/>
    <n v="70"/>
    <n v="3"/>
    <n v="2"/>
    <x v="0"/>
    <x v="2"/>
    <s v="Married"/>
    <n v="5714"/>
    <n v="5829"/>
    <n v="1"/>
    <s v="Y"/>
    <x v="1"/>
    <n v="20"/>
    <n v="4"/>
    <n v="1"/>
    <n v="80"/>
    <n v="0"/>
    <n v="6"/>
    <n v="3"/>
    <x v="2"/>
    <n v="6"/>
    <n v="5"/>
    <n v="1"/>
    <n v="3"/>
    <x v="1"/>
    <x v="0"/>
  </r>
  <r>
    <n v="35"/>
    <x v="1"/>
    <s v="Travel_Rarely"/>
    <n v="528"/>
    <x v="2"/>
    <n v="8"/>
    <n v="4"/>
    <s v="Technical Degree"/>
    <n v="1"/>
    <x v="835"/>
    <n v="3"/>
    <s v="Male"/>
    <n v="100"/>
    <n v="3"/>
    <n v="1"/>
    <x v="8"/>
    <x v="2"/>
    <s v="Single"/>
    <n v="4323"/>
    <n v="7108"/>
    <n v="1"/>
    <s v="Y"/>
    <x v="1"/>
    <n v="17"/>
    <n v="3"/>
    <n v="2"/>
    <n v="80"/>
    <n v="0"/>
    <n v="6"/>
    <n v="2"/>
    <x v="0"/>
    <n v="5"/>
    <n v="4"/>
    <n v="1"/>
    <n v="4"/>
    <x v="1"/>
    <x v="0"/>
  </r>
  <r>
    <n v="29"/>
    <x v="0"/>
    <s v="Travel_Rarely"/>
    <n v="408"/>
    <x v="0"/>
    <n v="23"/>
    <n v="1"/>
    <s v="Life Sciences"/>
    <n v="1"/>
    <x v="836"/>
    <n v="4"/>
    <s v="Female"/>
    <n v="45"/>
    <n v="2"/>
    <n v="3"/>
    <x v="0"/>
    <x v="3"/>
    <s v="Married"/>
    <n v="7336"/>
    <n v="11162"/>
    <n v="1"/>
    <s v="Y"/>
    <x v="1"/>
    <n v="13"/>
    <n v="3"/>
    <n v="1"/>
    <n v="80"/>
    <n v="1"/>
    <n v="11"/>
    <n v="3"/>
    <x v="0"/>
    <n v="11"/>
    <n v="8"/>
    <n v="3"/>
    <n v="10"/>
    <x v="2"/>
    <x v="2"/>
  </r>
  <r>
    <n v="40"/>
    <x v="1"/>
    <s v="Travel_Frequently"/>
    <n v="593"/>
    <x v="1"/>
    <n v="9"/>
    <n v="4"/>
    <s v="Medical"/>
    <n v="1"/>
    <x v="837"/>
    <n v="2"/>
    <s v="Female"/>
    <n v="88"/>
    <n v="3"/>
    <n v="3"/>
    <x v="7"/>
    <x v="2"/>
    <s v="Single"/>
    <n v="13499"/>
    <n v="13782"/>
    <n v="9"/>
    <s v="Y"/>
    <x v="1"/>
    <n v="17"/>
    <n v="3"/>
    <n v="3"/>
    <n v="80"/>
    <n v="0"/>
    <n v="20"/>
    <n v="3"/>
    <x v="2"/>
    <n v="18"/>
    <n v="7"/>
    <n v="2"/>
    <n v="13"/>
    <x v="1"/>
    <x v="2"/>
  </r>
  <r>
    <n v="42"/>
    <x v="0"/>
    <s v="Travel_Frequently"/>
    <n v="481"/>
    <x v="0"/>
    <n v="12"/>
    <n v="3"/>
    <s v="Life Sciences"/>
    <n v="1"/>
    <x v="838"/>
    <n v="3"/>
    <s v="Male"/>
    <n v="44"/>
    <n v="3"/>
    <n v="4"/>
    <x v="0"/>
    <x v="3"/>
    <s v="Single"/>
    <n v="13758"/>
    <n v="2447"/>
    <n v="0"/>
    <s v="Y"/>
    <x v="0"/>
    <n v="12"/>
    <n v="3"/>
    <n v="2"/>
    <n v="80"/>
    <n v="0"/>
    <n v="22"/>
    <n v="2"/>
    <x v="2"/>
    <n v="21"/>
    <n v="9"/>
    <n v="13"/>
    <n v="14"/>
    <x v="0"/>
    <x v="2"/>
  </r>
  <r>
    <n v="42"/>
    <x v="1"/>
    <s v="Travel_Rarely"/>
    <n v="647"/>
    <x v="0"/>
    <n v="4"/>
    <n v="4"/>
    <s v="Marketing"/>
    <n v="1"/>
    <x v="839"/>
    <n v="2"/>
    <s v="Male"/>
    <n v="45"/>
    <n v="3"/>
    <n v="2"/>
    <x v="0"/>
    <x v="3"/>
    <s v="Single"/>
    <n v="5155"/>
    <n v="2253"/>
    <n v="7"/>
    <s v="Y"/>
    <x v="1"/>
    <n v="13"/>
    <n v="3"/>
    <n v="4"/>
    <n v="80"/>
    <n v="0"/>
    <n v="9"/>
    <n v="3"/>
    <x v="3"/>
    <n v="6"/>
    <n v="4"/>
    <n v="1"/>
    <n v="5"/>
    <x v="0"/>
    <x v="0"/>
  </r>
  <r>
    <n v="35"/>
    <x v="1"/>
    <s v="Travel_Rarely"/>
    <n v="982"/>
    <x v="1"/>
    <n v="1"/>
    <n v="4"/>
    <s v="Medical"/>
    <n v="1"/>
    <x v="840"/>
    <n v="4"/>
    <s v="Male"/>
    <n v="58"/>
    <n v="2"/>
    <n v="1"/>
    <x v="2"/>
    <x v="2"/>
    <s v="Married"/>
    <n v="2258"/>
    <n v="16340"/>
    <n v="6"/>
    <s v="Y"/>
    <x v="1"/>
    <n v="12"/>
    <n v="3"/>
    <n v="2"/>
    <n v="80"/>
    <n v="1"/>
    <n v="10"/>
    <n v="2"/>
    <x v="1"/>
    <n v="8"/>
    <n v="0"/>
    <n v="1"/>
    <n v="7"/>
    <x v="1"/>
    <x v="1"/>
  </r>
  <r>
    <n v="24"/>
    <x v="1"/>
    <s v="Travel_Rarely"/>
    <n v="477"/>
    <x v="1"/>
    <n v="24"/>
    <n v="3"/>
    <s v="Medical"/>
    <n v="1"/>
    <x v="841"/>
    <n v="4"/>
    <s v="Male"/>
    <n v="49"/>
    <n v="3"/>
    <n v="1"/>
    <x v="2"/>
    <x v="1"/>
    <s v="Single"/>
    <n v="3597"/>
    <n v="6409"/>
    <n v="8"/>
    <s v="Y"/>
    <x v="1"/>
    <n v="22"/>
    <n v="4"/>
    <n v="4"/>
    <n v="80"/>
    <n v="0"/>
    <n v="6"/>
    <n v="2"/>
    <x v="1"/>
    <n v="4"/>
    <n v="3"/>
    <n v="1"/>
    <n v="2"/>
    <x v="2"/>
    <x v="1"/>
  </r>
  <r>
    <n v="28"/>
    <x v="0"/>
    <s v="Travel_Rarely"/>
    <n v="1485"/>
    <x v="1"/>
    <n v="12"/>
    <n v="1"/>
    <s v="Life Sciences"/>
    <n v="1"/>
    <x v="842"/>
    <n v="3"/>
    <s v="Female"/>
    <n v="79"/>
    <n v="3"/>
    <n v="1"/>
    <x v="2"/>
    <x v="0"/>
    <s v="Married"/>
    <n v="2515"/>
    <n v="22955"/>
    <n v="1"/>
    <s v="Y"/>
    <x v="0"/>
    <n v="11"/>
    <n v="3"/>
    <n v="4"/>
    <n v="80"/>
    <n v="0"/>
    <n v="1"/>
    <n v="4"/>
    <x v="2"/>
    <n v="1"/>
    <n v="1"/>
    <n v="0"/>
    <n v="0"/>
    <x v="2"/>
    <x v="1"/>
  </r>
  <r>
    <n v="26"/>
    <x v="1"/>
    <s v="Travel_Rarely"/>
    <n v="1384"/>
    <x v="1"/>
    <n v="3"/>
    <n v="4"/>
    <s v="Medical"/>
    <n v="1"/>
    <x v="843"/>
    <n v="1"/>
    <s v="Male"/>
    <n v="82"/>
    <n v="4"/>
    <n v="1"/>
    <x v="2"/>
    <x v="0"/>
    <s v="Married"/>
    <n v="4420"/>
    <n v="13421"/>
    <n v="1"/>
    <s v="Y"/>
    <x v="1"/>
    <n v="22"/>
    <n v="4"/>
    <n v="2"/>
    <n v="80"/>
    <n v="1"/>
    <n v="8"/>
    <n v="2"/>
    <x v="1"/>
    <n v="8"/>
    <n v="7"/>
    <n v="0"/>
    <n v="7"/>
    <x v="2"/>
    <x v="0"/>
  </r>
  <r>
    <n v="30"/>
    <x v="1"/>
    <s v="Travel_Rarely"/>
    <n v="852"/>
    <x v="0"/>
    <n v="10"/>
    <n v="3"/>
    <s v="Marketing"/>
    <n v="1"/>
    <x v="844"/>
    <n v="3"/>
    <s v="Male"/>
    <n v="72"/>
    <n v="2"/>
    <n v="2"/>
    <x v="0"/>
    <x v="2"/>
    <s v="Married"/>
    <n v="6578"/>
    <n v="2706"/>
    <n v="1"/>
    <s v="Y"/>
    <x v="1"/>
    <n v="18"/>
    <n v="3"/>
    <n v="1"/>
    <n v="80"/>
    <n v="1"/>
    <n v="10"/>
    <n v="3"/>
    <x v="1"/>
    <n v="10"/>
    <n v="3"/>
    <n v="1"/>
    <n v="4"/>
    <x v="1"/>
    <x v="0"/>
  </r>
  <r>
    <n v="40"/>
    <x v="1"/>
    <s v="Travel_Frequently"/>
    <n v="902"/>
    <x v="1"/>
    <n v="26"/>
    <n v="2"/>
    <s v="Medical"/>
    <n v="1"/>
    <x v="845"/>
    <n v="3"/>
    <s v="Female"/>
    <n v="92"/>
    <n v="2"/>
    <n v="2"/>
    <x v="1"/>
    <x v="0"/>
    <s v="Married"/>
    <n v="4422"/>
    <n v="21203"/>
    <n v="3"/>
    <s v="Y"/>
    <x v="0"/>
    <n v="13"/>
    <n v="3"/>
    <n v="4"/>
    <n v="80"/>
    <n v="1"/>
    <n v="16"/>
    <n v="3"/>
    <x v="0"/>
    <n v="1"/>
    <n v="1"/>
    <n v="0"/>
    <n v="0"/>
    <x v="1"/>
    <x v="0"/>
  </r>
  <r>
    <n v="35"/>
    <x v="1"/>
    <s v="Travel_Rarely"/>
    <n v="819"/>
    <x v="1"/>
    <n v="2"/>
    <n v="3"/>
    <s v="Life Sciences"/>
    <n v="1"/>
    <x v="846"/>
    <n v="3"/>
    <s v="Male"/>
    <n v="44"/>
    <n v="2"/>
    <n v="3"/>
    <x v="3"/>
    <x v="1"/>
    <s v="Divorced"/>
    <n v="10274"/>
    <n v="19588"/>
    <n v="2"/>
    <s v="Y"/>
    <x v="1"/>
    <n v="18"/>
    <n v="3"/>
    <n v="2"/>
    <n v="80"/>
    <n v="1"/>
    <n v="15"/>
    <n v="2"/>
    <x v="3"/>
    <n v="7"/>
    <n v="7"/>
    <n v="6"/>
    <n v="4"/>
    <x v="1"/>
    <x v="2"/>
  </r>
  <r>
    <n v="34"/>
    <x v="1"/>
    <s v="Travel_Frequently"/>
    <n v="669"/>
    <x v="1"/>
    <n v="1"/>
    <n v="3"/>
    <s v="Medical"/>
    <n v="1"/>
    <x v="847"/>
    <n v="4"/>
    <s v="Male"/>
    <n v="97"/>
    <n v="2"/>
    <n v="2"/>
    <x v="4"/>
    <x v="3"/>
    <s v="Single"/>
    <n v="5343"/>
    <n v="25755"/>
    <n v="0"/>
    <s v="Y"/>
    <x v="1"/>
    <n v="20"/>
    <n v="4"/>
    <n v="3"/>
    <n v="80"/>
    <n v="0"/>
    <n v="14"/>
    <n v="3"/>
    <x v="1"/>
    <n v="13"/>
    <n v="9"/>
    <n v="4"/>
    <n v="9"/>
    <x v="1"/>
    <x v="0"/>
  </r>
  <r>
    <n v="35"/>
    <x v="1"/>
    <s v="Travel_Frequently"/>
    <n v="636"/>
    <x v="1"/>
    <n v="4"/>
    <n v="4"/>
    <s v="Other"/>
    <n v="1"/>
    <x v="848"/>
    <n v="4"/>
    <s v="Male"/>
    <n v="47"/>
    <n v="2"/>
    <n v="1"/>
    <x v="2"/>
    <x v="0"/>
    <s v="Married"/>
    <n v="2376"/>
    <n v="26537"/>
    <n v="1"/>
    <s v="Y"/>
    <x v="1"/>
    <n v="13"/>
    <n v="3"/>
    <n v="2"/>
    <n v="80"/>
    <n v="1"/>
    <n v="2"/>
    <n v="2"/>
    <x v="3"/>
    <n v="2"/>
    <n v="2"/>
    <n v="2"/>
    <n v="2"/>
    <x v="1"/>
    <x v="1"/>
  </r>
  <r>
    <n v="43"/>
    <x v="0"/>
    <s v="Travel_Rarely"/>
    <n v="1372"/>
    <x v="0"/>
    <n v="9"/>
    <n v="3"/>
    <s v="Marketing"/>
    <n v="1"/>
    <x v="849"/>
    <n v="1"/>
    <s v="Female"/>
    <n v="85"/>
    <n v="1"/>
    <n v="2"/>
    <x v="0"/>
    <x v="2"/>
    <s v="Single"/>
    <n v="5346"/>
    <n v="9489"/>
    <n v="8"/>
    <s v="Y"/>
    <x v="1"/>
    <n v="13"/>
    <n v="3"/>
    <n v="2"/>
    <n v="80"/>
    <n v="0"/>
    <n v="7"/>
    <n v="2"/>
    <x v="2"/>
    <n v="4"/>
    <n v="3"/>
    <n v="1"/>
    <n v="3"/>
    <x v="0"/>
    <x v="0"/>
  </r>
  <r>
    <n v="32"/>
    <x v="1"/>
    <s v="Non-Travel"/>
    <n v="862"/>
    <x v="0"/>
    <n v="2"/>
    <n v="1"/>
    <s v="Life Sciences"/>
    <n v="1"/>
    <x v="850"/>
    <n v="3"/>
    <s v="Female"/>
    <n v="76"/>
    <n v="3"/>
    <n v="1"/>
    <x v="6"/>
    <x v="3"/>
    <s v="Divorced"/>
    <n v="2827"/>
    <n v="14947"/>
    <n v="1"/>
    <s v="Y"/>
    <x v="1"/>
    <n v="12"/>
    <n v="3"/>
    <n v="3"/>
    <n v="80"/>
    <n v="3"/>
    <n v="1"/>
    <n v="3"/>
    <x v="1"/>
    <n v="1"/>
    <n v="0"/>
    <n v="0"/>
    <n v="0"/>
    <x v="1"/>
    <x v="1"/>
  </r>
  <r>
    <n v="56"/>
    <x v="1"/>
    <s v="Travel_Rarely"/>
    <n v="718"/>
    <x v="1"/>
    <n v="4"/>
    <n v="4"/>
    <s v="Technical Degree"/>
    <n v="1"/>
    <x v="851"/>
    <n v="4"/>
    <s v="Female"/>
    <n v="92"/>
    <n v="3"/>
    <n v="5"/>
    <x v="5"/>
    <x v="3"/>
    <s v="Divorced"/>
    <n v="19943"/>
    <n v="18575"/>
    <n v="4"/>
    <s v="Y"/>
    <x v="1"/>
    <n v="13"/>
    <n v="3"/>
    <n v="4"/>
    <n v="80"/>
    <n v="1"/>
    <n v="28"/>
    <n v="2"/>
    <x v="1"/>
    <n v="5"/>
    <n v="2"/>
    <n v="4"/>
    <n v="2"/>
    <x v="3"/>
    <x v="2"/>
  </r>
  <r>
    <n v="29"/>
    <x v="1"/>
    <s v="Travel_Rarely"/>
    <n v="1401"/>
    <x v="1"/>
    <n v="6"/>
    <n v="1"/>
    <s v="Medical"/>
    <n v="1"/>
    <x v="852"/>
    <n v="2"/>
    <s v="Female"/>
    <n v="54"/>
    <n v="3"/>
    <n v="1"/>
    <x v="2"/>
    <x v="0"/>
    <s v="Married"/>
    <n v="3131"/>
    <n v="26342"/>
    <n v="1"/>
    <s v="Y"/>
    <x v="1"/>
    <n v="13"/>
    <n v="3"/>
    <n v="1"/>
    <n v="80"/>
    <n v="1"/>
    <n v="10"/>
    <n v="5"/>
    <x v="1"/>
    <n v="10"/>
    <n v="8"/>
    <n v="0"/>
    <n v="8"/>
    <x v="2"/>
    <x v="1"/>
  </r>
  <r>
    <n v="19"/>
    <x v="1"/>
    <s v="Travel_Rarely"/>
    <n v="645"/>
    <x v="1"/>
    <n v="9"/>
    <n v="2"/>
    <s v="Life Sciences"/>
    <n v="1"/>
    <x v="853"/>
    <n v="3"/>
    <s v="Male"/>
    <n v="54"/>
    <n v="3"/>
    <n v="1"/>
    <x v="1"/>
    <x v="3"/>
    <s v="Single"/>
    <n v="2552"/>
    <n v="7172"/>
    <n v="1"/>
    <s v="Y"/>
    <x v="1"/>
    <n v="25"/>
    <n v="4"/>
    <n v="3"/>
    <n v="80"/>
    <n v="0"/>
    <n v="1"/>
    <n v="4"/>
    <x v="1"/>
    <n v="1"/>
    <n v="1"/>
    <n v="0"/>
    <n v="0"/>
    <x v="2"/>
    <x v="1"/>
  </r>
  <r>
    <n v="45"/>
    <x v="1"/>
    <s v="Travel_Rarely"/>
    <n v="1457"/>
    <x v="1"/>
    <n v="7"/>
    <n v="3"/>
    <s v="Medical"/>
    <n v="1"/>
    <x v="854"/>
    <n v="1"/>
    <s v="Female"/>
    <n v="83"/>
    <n v="3"/>
    <n v="1"/>
    <x v="1"/>
    <x v="2"/>
    <s v="Married"/>
    <n v="4477"/>
    <n v="20100"/>
    <n v="4"/>
    <s v="Y"/>
    <x v="0"/>
    <n v="19"/>
    <n v="3"/>
    <n v="3"/>
    <n v="80"/>
    <n v="1"/>
    <n v="7"/>
    <n v="2"/>
    <x v="2"/>
    <n v="3"/>
    <n v="2"/>
    <n v="0"/>
    <n v="2"/>
    <x v="0"/>
    <x v="0"/>
  </r>
  <r>
    <n v="37"/>
    <x v="1"/>
    <s v="Travel_Rarely"/>
    <n v="977"/>
    <x v="1"/>
    <n v="1"/>
    <n v="3"/>
    <s v="Life Sciences"/>
    <n v="1"/>
    <x v="855"/>
    <n v="4"/>
    <s v="Female"/>
    <n v="56"/>
    <n v="2"/>
    <n v="2"/>
    <x v="3"/>
    <x v="0"/>
    <s v="Married"/>
    <n v="6474"/>
    <n v="9961"/>
    <n v="1"/>
    <s v="Y"/>
    <x v="1"/>
    <n v="13"/>
    <n v="3"/>
    <n v="2"/>
    <n v="80"/>
    <n v="1"/>
    <n v="14"/>
    <n v="2"/>
    <x v="2"/>
    <n v="14"/>
    <n v="8"/>
    <n v="3"/>
    <n v="11"/>
    <x v="1"/>
    <x v="0"/>
  </r>
  <r>
    <n v="20"/>
    <x v="1"/>
    <s v="Travel_Rarely"/>
    <n v="805"/>
    <x v="1"/>
    <n v="3"/>
    <n v="3"/>
    <s v="Life Sciences"/>
    <n v="1"/>
    <x v="856"/>
    <n v="1"/>
    <s v="Male"/>
    <n v="87"/>
    <n v="2"/>
    <n v="1"/>
    <x v="2"/>
    <x v="2"/>
    <s v="Single"/>
    <n v="3033"/>
    <n v="12828"/>
    <n v="1"/>
    <s v="Y"/>
    <x v="1"/>
    <n v="12"/>
    <n v="3"/>
    <n v="1"/>
    <n v="80"/>
    <n v="0"/>
    <n v="2"/>
    <n v="2"/>
    <x v="2"/>
    <n v="2"/>
    <n v="2"/>
    <n v="1"/>
    <n v="2"/>
    <x v="2"/>
    <x v="1"/>
  </r>
  <r>
    <n v="44"/>
    <x v="0"/>
    <s v="Travel_Rarely"/>
    <n v="1097"/>
    <x v="1"/>
    <n v="10"/>
    <n v="4"/>
    <s v="Life Sciences"/>
    <n v="1"/>
    <x v="857"/>
    <n v="3"/>
    <s v="Male"/>
    <n v="96"/>
    <n v="3"/>
    <n v="1"/>
    <x v="1"/>
    <x v="2"/>
    <s v="Single"/>
    <n v="2936"/>
    <n v="10826"/>
    <n v="1"/>
    <s v="Y"/>
    <x v="0"/>
    <n v="11"/>
    <n v="3"/>
    <n v="3"/>
    <n v="80"/>
    <n v="0"/>
    <n v="6"/>
    <n v="4"/>
    <x v="1"/>
    <n v="6"/>
    <n v="4"/>
    <n v="0"/>
    <n v="2"/>
    <x v="0"/>
    <x v="1"/>
  </r>
  <r>
    <n v="53"/>
    <x v="1"/>
    <s v="Travel_Rarely"/>
    <n v="1223"/>
    <x v="1"/>
    <n v="7"/>
    <n v="2"/>
    <s v="Medical"/>
    <n v="1"/>
    <x v="858"/>
    <n v="4"/>
    <s v="Female"/>
    <n v="50"/>
    <n v="3"/>
    <n v="5"/>
    <x v="5"/>
    <x v="2"/>
    <s v="Divorced"/>
    <n v="18606"/>
    <n v="18640"/>
    <n v="3"/>
    <s v="Y"/>
    <x v="1"/>
    <n v="18"/>
    <n v="3"/>
    <n v="2"/>
    <n v="80"/>
    <n v="1"/>
    <n v="26"/>
    <n v="6"/>
    <x v="1"/>
    <n v="7"/>
    <n v="7"/>
    <n v="4"/>
    <n v="7"/>
    <x v="3"/>
    <x v="2"/>
  </r>
  <r>
    <n v="29"/>
    <x v="1"/>
    <s v="Travel_Rarely"/>
    <n v="942"/>
    <x v="1"/>
    <n v="15"/>
    <n v="1"/>
    <s v="Life Sciences"/>
    <n v="1"/>
    <x v="859"/>
    <n v="2"/>
    <s v="Female"/>
    <n v="69"/>
    <n v="1"/>
    <n v="1"/>
    <x v="1"/>
    <x v="0"/>
    <s v="Married"/>
    <n v="2168"/>
    <n v="26933"/>
    <n v="0"/>
    <s v="Y"/>
    <x v="0"/>
    <n v="18"/>
    <n v="3"/>
    <n v="1"/>
    <n v="80"/>
    <n v="1"/>
    <n v="6"/>
    <n v="2"/>
    <x v="2"/>
    <n v="5"/>
    <n v="4"/>
    <n v="1"/>
    <n v="3"/>
    <x v="2"/>
    <x v="1"/>
  </r>
  <r>
    <n v="22"/>
    <x v="0"/>
    <s v="Travel_Frequently"/>
    <n v="1256"/>
    <x v="1"/>
    <n v="3"/>
    <n v="4"/>
    <s v="Life Sciences"/>
    <n v="1"/>
    <x v="860"/>
    <n v="3"/>
    <s v="Male"/>
    <n v="48"/>
    <n v="2"/>
    <n v="1"/>
    <x v="1"/>
    <x v="0"/>
    <s v="Married"/>
    <n v="2853"/>
    <n v="4223"/>
    <n v="0"/>
    <s v="Y"/>
    <x v="0"/>
    <n v="11"/>
    <n v="3"/>
    <n v="2"/>
    <n v="80"/>
    <n v="1"/>
    <n v="1"/>
    <n v="5"/>
    <x v="1"/>
    <n v="0"/>
    <n v="0"/>
    <n v="0"/>
    <n v="0"/>
    <x v="2"/>
    <x v="1"/>
  </r>
  <r>
    <n v="46"/>
    <x v="1"/>
    <s v="Travel_Rarely"/>
    <n v="1402"/>
    <x v="0"/>
    <n v="2"/>
    <n v="3"/>
    <s v="Marketing"/>
    <n v="1"/>
    <x v="861"/>
    <n v="3"/>
    <s v="Female"/>
    <n v="69"/>
    <n v="3"/>
    <n v="4"/>
    <x v="5"/>
    <x v="3"/>
    <s v="Married"/>
    <n v="17048"/>
    <n v="24097"/>
    <n v="8"/>
    <s v="Y"/>
    <x v="1"/>
    <n v="23"/>
    <n v="4"/>
    <n v="1"/>
    <n v="80"/>
    <n v="0"/>
    <n v="28"/>
    <n v="2"/>
    <x v="1"/>
    <n v="26"/>
    <n v="15"/>
    <n v="15"/>
    <n v="9"/>
    <x v="0"/>
    <x v="2"/>
  </r>
  <r>
    <n v="44"/>
    <x v="1"/>
    <s v="Non-Travel"/>
    <n v="111"/>
    <x v="1"/>
    <n v="17"/>
    <n v="3"/>
    <s v="Life Sciences"/>
    <n v="1"/>
    <x v="862"/>
    <n v="4"/>
    <s v="Male"/>
    <n v="74"/>
    <n v="1"/>
    <n v="1"/>
    <x v="1"/>
    <x v="2"/>
    <s v="Single"/>
    <n v="2290"/>
    <n v="4279"/>
    <n v="2"/>
    <s v="Y"/>
    <x v="1"/>
    <n v="13"/>
    <n v="3"/>
    <n v="4"/>
    <n v="80"/>
    <n v="0"/>
    <n v="6"/>
    <n v="3"/>
    <x v="1"/>
    <n v="0"/>
    <n v="0"/>
    <n v="0"/>
    <n v="0"/>
    <x v="0"/>
    <x v="1"/>
  </r>
  <r>
    <n v="33"/>
    <x v="1"/>
    <s v="Travel_Rarely"/>
    <n v="147"/>
    <x v="2"/>
    <n v="2"/>
    <n v="3"/>
    <s v="Human Resources"/>
    <n v="1"/>
    <x v="863"/>
    <n v="2"/>
    <s v="Male"/>
    <n v="99"/>
    <n v="3"/>
    <n v="1"/>
    <x v="8"/>
    <x v="2"/>
    <s v="Married"/>
    <n v="3600"/>
    <n v="8429"/>
    <n v="1"/>
    <s v="Y"/>
    <x v="1"/>
    <n v="13"/>
    <n v="3"/>
    <n v="4"/>
    <n v="80"/>
    <n v="1"/>
    <n v="5"/>
    <n v="2"/>
    <x v="1"/>
    <n v="5"/>
    <n v="4"/>
    <n v="1"/>
    <n v="4"/>
    <x v="1"/>
    <x v="1"/>
  </r>
  <r>
    <n v="41"/>
    <x v="0"/>
    <s v="Non-Travel"/>
    <n v="906"/>
    <x v="1"/>
    <n v="5"/>
    <n v="2"/>
    <s v="Life Sciences"/>
    <n v="1"/>
    <x v="864"/>
    <n v="1"/>
    <s v="Male"/>
    <n v="95"/>
    <n v="2"/>
    <n v="1"/>
    <x v="1"/>
    <x v="3"/>
    <s v="Divorced"/>
    <n v="2107"/>
    <n v="20293"/>
    <n v="6"/>
    <s v="Y"/>
    <x v="1"/>
    <n v="17"/>
    <n v="3"/>
    <n v="1"/>
    <n v="80"/>
    <n v="1"/>
    <n v="5"/>
    <n v="2"/>
    <x v="0"/>
    <n v="1"/>
    <n v="0"/>
    <n v="0"/>
    <n v="0"/>
    <x v="0"/>
    <x v="1"/>
  </r>
  <r>
    <n v="30"/>
    <x v="1"/>
    <s v="Travel_Rarely"/>
    <n v="1329"/>
    <x v="0"/>
    <n v="29"/>
    <n v="4"/>
    <s v="Life Sciences"/>
    <n v="1"/>
    <x v="865"/>
    <n v="3"/>
    <s v="Male"/>
    <n v="61"/>
    <n v="3"/>
    <n v="2"/>
    <x v="0"/>
    <x v="3"/>
    <s v="Divorced"/>
    <n v="4115"/>
    <n v="13192"/>
    <n v="8"/>
    <s v="Y"/>
    <x v="1"/>
    <n v="19"/>
    <n v="3"/>
    <n v="3"/>
    <n v="80"/>
    <n v="3"/>
    <n v="8"/>
    <n v="3"/>
    <x v="1"/>
    <n v="4"/>
    <n v="3"/>
    <n v="0"/>
    <n v="3"/>
    <x v="1"/>
    <x v="0"/>
  </r>
  <r>
    <n v="40"/>
    <x v="1"/>
    <s v="Travel_Frequently"/>
    <n v="1184"/>
    <x v="0"/>
    <n v="2"/>
    <n v="4"/>
    <s v="Medical"/>
    <n v="1"/>
    <x v="866"/>
    <n v="2"/>
    <s v="Male"/>
    <n v="62"/>
    <n v="3"/>
    <n v="2"/>
    <x v="0"/>
    <x v="1"/>
    <s v="Married"/>
    <n v="4327"/>
    <n v="25440"/>
    <n v="5"/>
    <s v="Y"/>
    <x v="1"/>
    <n v="12"/>
    <n v="3"/>
    <n v="4"/>
    <n v="80"/>
    <n v="3"/>
    <n v="5"/>
    <n v="2"/>
    <x v="1"/>
    <n v="0"/>
    <n v="0"/>
    <n v="0"/>
    <n v="0"/>
    <x v="1"/>
    <x v="0"/>
  </r>
  <r>
    <n v="50"/>
    <x v="1"/>
    <s v="Travel_Frequently"/>
    <n v="1421"/>
    <x v="1"/>
    <n v="2"/>
    <n v="3"/>
    <s v="Medical"/>
    <n v="1"/>
    <x v="867"/>
    <n v="4"/>
    <s v="Female"/>
    <n v="30"/>
    <n v="3"/>
    <n v="4"/>
    <x v="5"/>
    <x v="3"/>
    <s v="Married"/>
    <n v="17856"/>
    <n v="9490"/>
    <n v="2"/>
    <s v="Y"/>
    <x v="1"/>
    <n v="22"/>
    <n v="4"/>
    <n v="3"/>
    <n v="80"/>
    <n v="1"/>
    <n v="32"/>
    <n v="3"/>
    <x v="1"/>
    <n v="2"/>
    <n v="2"/>
    <n v="2"/>
    <n v="2"/>
    <x v="0"/>
    <x v="2"/>
  </r>
  <r>
    <n v="28"/>
    <x v="1"/>
    <s v="Travel_Rarely"/>
    <n v="1179"/>
    <x v="1"/>
    <n v="19"/>
    <n v="4"/>
    <s v="Medical"/>
    <n v="1"/>
    <x v="868"/>
    <n v="4"/>
    <s v="Male"/>
    <n v="78"/>
    <n v="2"/>
    <n v="1"/>
    <x v="2"/>
    <x v="3"/>
    <s v="Married"/>
    <n v="3196"/>
    <n v="12449"/>
    <n v="1"/>
    <s v="Y"/>
    <x v="1"/>
    <n v="12"/>
    <n v="3"/>
    <n v="3"/>
    <n v="80"/>
    <n v="3"/>
    <n v="6"/>
    <n v="2"/>
    <x v="1"/>
    <n v="6"/>
    <n v="5"/>
    <n v="3"/>
    <n v="3"/>
    <x v="2"/>
    <x v="1"/>
  </r>
  <r>
    <n v="46"/>
    <x v="1"/>
    <s v="Travel_Rarely"/>
    <n v="1450"/>
    <x v="1"/>
    <n v="15"/>
    <n v="2"/>
    <s v="Life Sciences"/>
    <n v="1"/>
    <x v="869"/>
    <n v="4"/>
    <s v="Male"/>
    <n v="52"/>
    <n v="3"/>
    <n v="5"/>
    <x v="7"/>
    <x v="1"/>
    <s v="Married"/>
    <n v="19081"/>
    <n v="10849"/>
    <n v="5"/>
    <s v="Y"/>
    <x v="1"/>
    <n v="11"/>
    <n v="3"/>
    <n v="1"/>
    <n v="80"/>
    <n v="1"/>
    <n v="25"/>
    <n v="2"/>
    <x v="1"/>
    <n v="4"/>
    <n v="2"/>
    <n v="0"/>
    <n v="3"/>
    <x v="0"/>
    <x v="2"/>
  </r>
  <r>
    <n v="35"/>
    <x v="1"/>
    <s v="Travel_Rarely"/>
    <n v="1361"/>
    <x v="0"/>
    <n v="17"/>
    <n v="4"/>
    <s v="Life Sciences"/>
    <n v="1"/>
    <x v="870"/>
    <n v="3"/>
    <s v="Male"/>
    <n v="94"/>
    <n v="3"/>
    <n v="2"/>
    <x v="0"/>
    <x v="3"/>
    <s v="Married"/>
    <n v="8966"/>
    <n v="21026"/>
    <n v="3"/>
    <s v="Y"/>
    <x v="0"/>
    <n v="15"/>
    <n v="3"/>
    <n v="4"/>
    <n v="80"/>
    <n v="3"/>
    <n v="15"/>
    <n v="2"/>
    <x v="1"/>
    <n v="7"/>
    <n v="7"/>
    <n v="1"/>
    <n v="7"/>
    <x v="1"/>
    <x v="2"/>
  </r>
  <r>
    <n v="24"/>
    <x v="0"/>
    <s v="Travel_Rarely"/>
    <n v="984"/>
    <x v="1"/>
    <n v="17"/>
    <n v="2"/>
    <s v="Life Sciences"/>
    <n v="1"/>
    <x v="871"/>
    <n v="4"/>
    <s v="Female"/>
    <n v="97"/>
    <n v="3"/>
    <n v="1"/>
    <x v="2"/>
    <x v="1"/>
    <s v="Married"/>
    <n v="2210"/>
    <n v="3372"/>
    <n v="1"/>
    <s v="Y"/>
    <x v="1"/>
    <n v="13"/>
    <n v="3"/>
    <n v="1"/>
    <n v="80"/>
    <n v="1"/>
    <n v="1"/>
    <n v="3"/>
    <x v="0"/>
    <n v="1"/>
    <n v="0"/>
    <n v="0"/>
    <n v="0"/>
    <x v="2"/>
    <x v="1"/>
  </r>
  <r>
    <n v="33"/>
    <x v="1"/>
    <s v="Travel_Frequently"/>
    <n v="1146"/>
    <x v="0"/>
    <n v="25"/>
    <n v="3"/>
    <s v="Medical"/>
    <n v="1"/>
    <x v="872"/>
    <n v="2"/>
    <s v="Female"/>
    <n v="82"/>
    <n v="3"/>
    <n v="2"/>
    <x v="0"/>
    <x v="2"/>
    <s v="Married"/>
    <n v="4539"/>
    <n v="4905"/>
    <n v="1"/>
    <s v="Y"/>
    <x v="1"/>
    <n v="12"/>
    <n v="3"/>
    <n v="1"/>
    <n v="80"/>
    <n v="1"/>
    <n v="10"/>
    <n v="3"/>
    <x v="2"/>
    <n v="10"/>
    <n v="7"/>
    <n v="0"/>
    <n v="1"/>
    <x v="1"/>
    <x v="0"/>
  </r>
  <r>
    <n v="36"/>
    <x v="1"/>
    <s v="Travel_Rarely"/>
    <n v="917"/>
    <x v="1"/>
    <n v="6"/>
    <n v="4"/>
    <s v="Life Sciences"/>
    <n v="1"/>
    <x v="873"/>
    <n v="3"/>
    <s v="Male"/>
    <n v="60"/>
    <n v="1"/>
    <n v="1"/>
    <x v="2"/>
    <x v="2"/>
    <s v="Divorced"/>
    <n v="2741"/>
    <n v="6865"/>
    <n v="1"/>
    <s v="Y"/>
    <x v="1"/>
    <n v="14"/>
    <n v="3"/>
    <n v="3"/>
    <n v="80"/>
    <n v="1"/>
    <n v="7"/>
    <n v="4"/>
    <x v="1"/>
    <n v="7"/>
    <n v="7"/>
    <n v="1"/>
    <n v="7"/>
    <x v="1"/>
    <x v="1"/>
  </r>
  <r>
    <n v="30"/>
    <x v="1"/>
    <s v="Travel_Rarely"/>
    <n v="853"/>
    <x v="1"/>
    <n v="7"/>
    <n v="4"/>
    <s v="Life Sciences"/>
    <n v="1"/>
    <x v="874"/>
    <n v="3"/>
    <s v="Male"/>
    <n v="49"/>
    <n v="3"/>
    <n v="2"/>
    <x v="2"/>
    <x v="2"/>
    <s v="Divorced"/>
    <n v="3491"/>
    <n v="11309"/>
    <n v="1"/>
    <s v="Y"/>
    <x v="1"/>
    <n v="13"/>
    <n v="3"/>
    <n v="1"/>
    <n v="80"/>
    <n v="3"/>
    <n v="10"/>
    <n v="4"/>
    <x v="2"/>
    <n v="10"/>
    <n v="7"/>
    <n v="8"/>
    <n v="9"/>
    <x v="1"/>
    <x v="1"/>
  </r>
  <r>
    <n v="44"/>
    <x v="1"/>
    <s v="Travel_Rarely"/>
    <n v="200"/>
    <x v="1"/>
    <n v="29"/>
    <n v="4"/>
    <s v="Other"/>
    <n v="1"/>
    <x v="875"/>
    <n v="4"/>
    <s v="Male"/>
    <n v="32"/>
    <n v="3"/>
    <n v="2"/>
    <x v="1"/>
    <x v="0"/>
    <s v="Single"/>
    <n v="4541"/>
    <n v="7744"/>
    <n v="1"/>
    <s v="Y"/>
    <x v="1"/>
    <n v="25"/>
    <n v="4"/>
    <n v="2"/>
    <n v="80"/>
    <n v="0"/>
    <n v="20"/>
    <n v="3"/>
    <x v="1"/>
    <n v="20"/>
    <n v="11"/>
    <n v="13"/>
    <n v="17"/>
    <x v="0"/>
    <x v="0"/>
  </r>
  <r>
    <n v="20"/>
    <x v="1"/>
    <s v="Travel_Rarely"/>
    <n v="654"/>
    <x v="0"/>
    <n v="21"/>
    <n v="3"/>
    <s v="Marketing"/>
    <n v="1"/>
    <x v="876"/>
    <n v="3"/>
    <s v="Male"/>
    <n v="43"/>
    <n v="4"/>
    <n v="1"/>
    <x v="6"/>
    <x v="0"/>
    <s v="Single"/>
    <n v="2678"/>
    <n v="5050"/>
    <n v="1"/>
    <s v="Y"/>
    <x v="1"/>
    <n v="17"/>
    <n v="3"/>
    <n v="4"/>
    <n v="80"/>
    <n v="0"/>
    <n v="2"/>
    <n v="2"/>
    <x v="1"/>
    <n v="2"/>
    <n v="1"/>
    <n v="2"/>
    <n v="2"/>
    <x v="2"/>
    <x v="1"/>
  </r>
  <r>
    <n v="46"/>
    <x v="1"/>
    <s v="Travel_Rarely"/>
    <n v="150"/>
    <x v="1"/>
    <n v="2"/>
    <n v="4"/>
    <s v="Technical Degree"/>
    <n v="1"/>
    <x v="877"/>
    <n v="4"/>
    <s v="Male"/>
    <n v="60"/>
    <n v="3"/>
    <n v="2"/>
    <x v="3"/>
    <x v="0"/>
    <s v="Divorced"/>
    <n v="7379"/>
    <n v="17433"/>
    <n v="2"/>
    <s v="Y"/>
    <x v="1"/>
    <n v="11"/>
    <n v="3"/>
    <n v="3"/>
    <n v="80"/>
    <n v="1"/>
    <n v="12"/>
    <n v="3"/>
    <x v="2"/>
    <n v="6"/>
    <n v="3"/>
    <n v="1"/>
    <n v="4"/>
    <x v="0"/>
    <x v="2"/>
  </r>
  <r>
    <n v="42"/>
    <x v="1"/>
    <s v="Non-Travel"/>
    <n v="179"/>
    <x v="2"/>
    <n v="2"/>
    <n v="5"/>
    <s v="Medical"/>
    <n v="1"/>
    <x v="878"/>
    <n v="4"/>
    <s v="Male"/>
    <n v="79"/>
    <n v="4"/>
    <n v="2"/>
    <x v="8"/>
    <x v="3"/>
    <s v="Married"/>
    <n v="6272"/>
    <n v="12858"/>
    <n v="7"/>
    <s v="Y"/>
    <x v="1"/>
    <n v="16"/>
    <n v="3"/>
    <n v="1"/>
    <n v="80"/>
    <n v="1"/>
    <n v="10"/>
    <n v="3"/>
    <x v="3"/>
    <n v="4"/>
    <n v="3"/>
    <n v="0"/>
    <n v="3"/>
    <x v="0"/>
    <x v="0"/>
  </r>
  <r>
    <n v="60"/>
    <x v="1"/>
    <s v="Travel_Rarely"/>
    <n v="696"/>
    <x v="0"/>
    <n v="7"/>
    <n v="4"/>
    <s v="Marketing"/>
    <n v="1"/>
    <x v="879"/>
    <n v="2"/>
    <s v="Male"/>
    <n v="52"/>
    <n v="4"/>
    <n v="2"/>
    <x v="0"/>
    <x v="0"/>
    <s v="Divorced"/>
    <n v="5220"/>
    <n v="10893"/>
    <n v="0"/>
    <s v="Y"/>
    <x v="0"/>
    <n v="18"/>
    <n v="3"/>
    <n v="2"/>
    <n v="80"/>
    <n v="1"/>
    <n v="12"/>
    <n v="3"/>
    <x v="1"/>
    <n v="11"/>
    <n v="7"/>
    <n v="1"/>
    <n v="9"/>
    <x v="3"/>
    <x v="0"/>
  </r>
  <r>
    <n v="32"/>
    <x v="1"/>
    <s v="Travel_Frequently"/>
    <n v="116"/>
    <x v="1"/>
    <n v="13"/>
    <n v="3"/>
    <s v="Other"/>
    <n v="1"/>
    <x v="880"/>
    <n v="3"/>
    <s v="Female"/>
    <n v="77"/>
    <n v="2"/>
    <n v="1"/>
    <x v="2"/>
    <x v="1"/>
    <s v="Married"/>
    <n v="2743"/>
    <n v="7331"/>
    <n v="1"/>
    <s v="Y"/>
    <x v="1"/>
    <n v="20"/>
    <n v="4"/>
    <n v="3"/>
    <n v="80"/>
    <n v="1"/>
    <n v="2"/>
    <n v="2"/>
    <x v="1"/>
    <n v="2"/>
    <n v="2"/>
    <n v="2"/>
    <n v="2"/>
    <x v="1"/>
    <x v="1"/>
  </r>
  <r>
    <n v="32"/>
    <x v="1"/>
    <s v="Travel_Frequently"/>
    <n v="1316"/>
    <x v="1"/>
    <n v="2"/>
    <n v="2"/>
    <s v="Life Sciences"/>
    <n v="1"/>
    <x v="881"/>
    <n v="4"/>
    <s v="Female"/>
    <n v="38"/>
    <n v="3"/>
    <n v="2"/>
    <x v="1"/>
    <x v="2"/>
    <s v="Single"/>
    <n v="4998"/>
    <n v="2338"/>
    <n v="4"/>
    <s v="Y"/>
    <x v="0"/>
    <n v="14"/>
    <n v="3"/>
    <n v="4"/>
    <n v="80"/>
    <n v="0"/>
    <n v="10"/>
    <n v="2"/>
    <x v="1"/>
    <n v="8"/>
    <n v="7"/>
    <n v="0"/>
    <n v="7"/>
    <x v="1"/>
    <x v="0"/>
  </r>
  <r>
    <n v="36"/>
    <x v="1"/>
    <s v="Travel_Rarely"/>
    <n v="363"/>
    <x v="1"/>
    <n v="1"/>
    <n v="3"/>
    <s v="Technical Degree"/>
    <n v="1"/>
    <x v="882"/>
    <n v="3"/>
    <s v="Female"/>
    <n v="77"/>
    <n v="1"/>
    <n v="3"/>
    <x v="3"/>
    <x v="3"/>
    <s v="Divorced"/>
    <n v="10252"/>
    <n v="4235"/>
    <n v="2"/>
    <s v="Y"/>
    <x v="0"/>
    <n v="21"/>
    <n v="4"/>
    <n v="3"/>
    <n v="80"/>
    <n v="1"/>
    <n v="17"/>
    <n v="2"/>
    <x v="1"/>
    <n v="7"/>
    <n v="7"/>
    <n v="7"/>
    <n v="7"/>
    <x v="1"/>
    <x v="2"/>
  </r>
  <r>
    <n v="33"/>
    <x v="1"/>
    <s v="Travel_Rarely"/>
    <n v="117"/>
    <x v="1"/>
    <n v="9"/>
    <n v="3"/>
    <s v="Medical"/>
    <n v="1"/>
    <x v="883"/>
    <n v="1"/>
    <s v="Male"/>
    <n v="60"/>
    <n v="3"/>
    <n v="1"/>
    <x v="1"/>
    <x v="0"/>
    <s v="Married"/>
    <n v="2781"/>
    <n v="6311"/>
    <n v="0"/>
    <s v="Y"/>
    <x v="1"/>
    <n v="13"/>
    <n v="3"/>
    <n v="2"/>
    <n v="80"/>
    <n v="1"/>
    <n v="15"/>
    <n v="5"/>
    <x v="1"/>
    <n v="14"/>
    <n v="10"/>
    <n v="4"/>
    <n v="10"/>
    <x v="1"/>
    <x v="1"/>
  </r>
  <r>
    <n v="40"/>
    <x v="1"/>
    <s v="Travel_Rarely"/>
    <n v="107"/>
    <x v="0"/>
    <n v="10"/>
    <n v="3"/>
    <s v="Technical Degree"/>
    <n v="1"/>
    <x v="884"/>
    <n v="2"/>
    <s v="Female"/>
    <n v="84"/>
    <n v="2"/>
    <n v="2"/>
    <x v="0"/>
    <x v="1"/>
    <s v="Divorced"/>
    <n v="6852"/>
    <n v="11591"/>
    <n v="7"/>
    <s v="Y"/>
    <x v="1"/>
    <n v="12"/>
    <n v="3"/>
    <n v="2"/>
    <n v="80"/>
    <n v="1"/>
    <n v="7"/>
    <n v="2"/>
    <x v="3"/>
    <n v="5"/>
    <n v="1"/>
    <n v="1"/>
    <n v="3"/>
    <x v="1"/>
    <x v="0"/>
  </r>
  <r>
    <n v="25"/>
    <x v="1"/>
    <s v="Travel_Rarely"/>
    <n v="1356"/>
    <x v="0"/>
    <n v="10"/>
    <n v="4"/>
    <s v="Life Sciences"/>
    <n v="1"/>
    <x v="885"/>
    <n v="3"/>
    <s v="Male"/>
    <n v="57"/>
    <n v="3"/>
    <n v="2"/>
    <x v="0"/>
    <x v="0"/>
    <s v="Single"/>
    <n v="4950"/>
    <n v="20623"/>
    <n v="0"/>
    <s v="Y"/>
    <x v="1"/>
    <n v="14"/>
    <n v="3"/>
    <n v="2"/>
    <n v="80"/>
    <n v="0"/>
    <n v="5"/>
    <n v="4"/>
    <x v="1"/>
    <n v="4"/>
    <n v="3"/>
    <n v="1"/>
    <n v="1"/>
    <x v="2"/>
    <x v="0"/>
  </r>
  <r>
    <n v="30"/>
    <x v="1"/>
    <s v="Travel_Rarely"/>
    <n v="1465"/>
    <x v="1"/>
    <n v="1"/>
    <n v="3"/>
    <s v="Medical"/>
    <n v="1"/>
    <x v="886"/>
    <n v="4"/>
    <s v="Male"/>
    <n v="63"/>
    <n v="3"/>
    <n v="1"/>
    <x v="1"/>
    <x v="1"/>
    <s v="Married"/>
    <n v="3579"/>
    <n v="9369"/>
    <n v="0"/>
    <s v="Y"/>
    <x v="0"/>
    <n v="21"/>
    <n v="4"/>
    <n v="1"/>
    <n v="80"/>
    <n v="1"/>
    <n v="12"/>
    <n v="2"/>
    <x v="1"/>
    <n v="11"/>
    <n v="9"/>
    <n v="5"/>
    <n v="7"/>
    <x v="1"/>
    <x v="1"/>
  </r>
  <r>
    <n v="42"/>
    <x v="1"/>
    <s v="Travel_Frequently"/>
    <n v="458"/>
    <x v="1"/>
    <n v="26"/>
    <n v="5"/>
    <s v="Medical"/>
    <n v="1"/>
    <x v="887"/>
    <n v="1"/>
    <s v="Female"/>
    <n v="60"/>
    <n v="3"/>
    <n v="3"/>
    <x v="7"/>
    <x v="3"/>
    <s v="Married"/>
    <n v="13191"/>
    <n v="23281"/>
    <n v="3"/>
    <s v="Y"/>
    <x v="0"/>
    <n v="17"/>
    <n v="3"/>
    <n v="3"/>
    <n v="80"/>
    <n v="0"/>
    <n v="20"/>
    <n v="6"/>
    <x v="1"/>
    <n v="1"/>
    <n v="0"/>
    <n v="0"/>
    <n v="0"/>
    <x v="0"/>
    <x v="2"/>
  </r>
  <r>
    <n v="35"/>
    <x v="1"/>
    <s v="Non-Travel"/>
    <n v="1212"/>
    <x v="0"/>
    <n v="8"/>
    <n v="2"/>
    <s v="Marketing"/>
    <n v="1"/>
    <x v="888"/>
    <n v="3"/>
    <s v="Female"/>
    <n v="78"/>
    <n v="2"/>
    <n v="3"/>
    <x v="0"/>
    <x v="0"/>
    <s v="Married"/>
    <n v="10377"/>
    <n v="13755"/>
    <n v="4"/>
    <s v="Y"/>
    <x v="0"/>
    <n v="11"/>
    <n v="3"/>
    <n v="2"/>
    <n v="80"/>
    <n v="1"/>
    <n v="16"/>
    <n v="6"/>
    <x v="2"/>
    <n v="13"/>
    <n v="2"/>
    <n v="4"/>
    <n v="12"/>
    <x v="1"/>
    <x v="2"/>
  </r>
  <r>
    <n v="27"/>
    <x v="1"/>
    <s v="Travel_Rarely"/>
    <n v="1103"/>
    <x v="1"/>
    <n v="14"/>
    <n v="3"/>
    <s v="Life Sciences"/>
    <n v="1"/>
    <x v="889"/>
    <n v="1"/>
    <s v="Male"/>
    <n v="42"/>
    <n v="3"/>
    <n v="1"/>
    <x v="1"/>
    <x v="3"/>
    <s v="Married"/>
    <n v="2235"/>
    <n v="14377"/>
    <n v="1"/>
    <s v="Y"/>
    <x v="0"/>
    <n v="14"/>
    <n v="3"/>
    <n v="4"/>
    <n v="80"/>
    <n v="2"/>
    <n v="9"/>
    <n v="3"/>
    <x v="2"/>
    <n v="9"/>
    <n v="7"/>
    <n v="6"/>
    <n v="8"/>
    <x v="2"/>
    <x v="1"/>
  </r>
  <r>
    <n v="54"/>
    <x v="1"/>
    <s v="Travel_Frequently"/>
    <n v="966"/>
    <x v="1"/>
    <n v="1"/>
    <n v="4"/>
    <s v="Life Sciences"/>
    <n v="1"/>
    <x v="890"/>
    <n v="4"/>
    <s v="Female"/>
    <n v="53"/>
    <n v="3"/>
    <n v="3"/>
    <x v="3"/>
    <x v="2"/>
    <s v="Divorced"/>
    <n v="10502"/>
    <n v="9659"/>
    <n v="7"/>
    <s v="Y"/>
    <x v="1"/>
    <n v="17"/>
    <n v="3"/>
    <n v="1"/>
    <n v="80"/>
    <n v="1"/>
    <n v="33"/>
    <n v="2"/>
    <x v="0"/>
    <n v="5"/>
    <n v="4"/>
    <n v="1"/>
    <n v="4"/>
    <x v="3"/>
    <x v="2"/>
  </r>
  <r>
    <n v="44"/>
    <x v="1"/>
    <s v="Travel_Rarely"/>
    <n v="1117"/>
    <x v="1"/>
    <n v="2"/>
    <n v="1"/>
    <s v="Life Sciences"/>
    <n v="1"/>
    <x v="891"/>
    <n v="1"/>
    <s v="Female"/>
    <n v="72"/>
    <n v="4"/>
    <n v="1"/>
    <x v="1"/>
    <x v="0"/>
    <s v="Married"/>
    <n v="2011"/>
    <n v="19982"/>
    <n v="1"/>
    <s v="Y"/>
    <x v="1"/>
    <n v="13"/>
    <n v="3"/>
    <n v="4"/>
    <n v="80"/>
    <n v="1"/>
    <n v="10"/>
    <n v="5"/>
    <x v="1"/>
    <n v="10"/>
    <n v="5"/>
    <n v="7"/>
    <n v="7"/>
    <x v="0"/>
    <x v="1"/>
  </r>
  <r>
    <n v="19"/>
    <x v="0"/>
    <s v="Non-Travel"/>
    <n v="504"/>
    <x v="1"/>
    <n v="10"/>
    <n v="3"/>
    <s v="Medical"/>
    <n v="1"/>
    <x v="892"/>
    <n v="1"/>
    <s v="Female"/>
    <n v="96"/>
    <n v="2"/>
    <n v="1"/>
    <x v="1"/>
    <x v="1"/>
    <s v="Single"/>
    <n v="1859"/>
    <n v="6148"/>
    <n v="1"/>
    <s v="Y"/>
    <x v="0"/>
    <n v="25"/>
    <n v="4"/>
    <n v="2"/>
    <n v="80"/>
    <n v="0"/>
    <n v="1"/>
    <n v="2"/>
    <x v="3"/>
    <n v="1"/>
    <n v="1"/>
    <n v="0"/>
    <n v="0"/>
    <x v="2"/>
    <x v="1"/>
  </r>
  <r>
    <n v="29"/>
    <x v="1"/>
    <s v="Travel_Rarely"/>
    <n v="1010"/>
    <x v="1"/>
    <n v="1"/>
    <n v="3"/>
    <s v="Life Sciences"/>
    <n v="1"/>
    <x v="893"/>
    <n v="1"/>
    <s v="Female"/>
    <n v="97"/>
    <n v="3"/>
    <n v="1"/>
    <x v="1"/>
    <x v="0"/>
    <s v="Divorced"/>
    <n v="3760"/>
    <n v="5598"/>
    <n v="1"/>
    <s v="Y"/>
    <x v="1"/>
    <n v="15"/>
    <n v="3"/>
    <n v="1"/>
    <n v="80"/>
    <n v="3"/>
    <n v="3"/>
    <n v="5"/>
    <x v="1"/>
    <n v="3"/>
    <n v="2"/>
    <n v="1"/>
    <n v="2"/>
    <x v="2"/>
    <x v="1"/>
  </r>
  <r>
    <n v="54"/>
    <x v="1"/>
    <s v="Travel_Rarely"/>
    <n v="685"/>
    <x v="1"/>
    <n v="3"/>
    <n v="3"/>
    <s v="Life Sciences"/>
    <n v="1"/>
    <x v="894"/>
    <n v="4"/>
    <s v="Male"/>
    <n v="85"/>
    <n v="3"/>
    <n v="4"/>
    <x v="7"/>
    <x v="0"/>
    <s v="Married"/>
    <n v="17779"/>
    <n v="23474"/>
    <n v="3"/>
    <s v="Y"/>
    <x v="1"/>
    <n v="14"/>
    <n v="3"/>
    <n v="1"/>
    <n v="80"/>
    <n v="0"/>
    <n v="36"/>
    <n v="2"/>
    <x v="1"/>
    <n v="10"/>
    <n v="9"/>
    <n v="0"/>
    <n v="9"/>
    <x v="3"/>
    <x v="2"/>
  </r>
  <r>
    <n v="31"/>
    <x v="1"/>
    <s v="Travel_Rarely"/>
    <n v="1332"/>
    <x v="1"/>
    <n v="11"/>
    <n v="2"/>
    <s v="Medical"/>
    <n v="1"/>
    <x v="895"/>
    <n v="3"/>
    <s v="Male"/>
    <n v="80"/>
    <n v="3"/>
    <n v="2"/>
    <x v="4"/>
    <x v="3"/>
    <s v="Married"/>
    <n v="6833"/>
    <n v="17089"/>
    <n v="1"/>
    <s v="Y"/>
    <x v="0"/>
    <n v="12"/>
    <n v="3"/>
    <n v="4"/>
    <n v="80"/>
    <n v="0"/>
    <n v="6"/>
    <n v="2"/>
    <x v="2"/>
    <n v="6"/>
    <n v="5"/>
    <n v="0"/>
    <n v="1"/>
    <x v="1"/>
    <x v="0"/>
  </r>
  <r>
    <n v="31"/>
    <x v="1"/>
    <s v="Travel_Rarely"/>
    <n v="1062"/>
    <x v="1"/>
    <n v="24"/>
    <n v="3"/>
    <s v="Medical"/>
    <n v="1"/>
    <x v="896"/>
    <n v="3"/>
    <s v="Female"/>
    <n v="96"/>
    <n v="2"/>
    <n v="2"/>
    <x v="4"/>
    <x v="3"/>
    <s v="Single"/>
    <n v="6812"/>
    <n v="17198"/>
    <n v="1"/>
    <s v="Y"/>
    <x v="1"/>
    <n v="19"/>
    <n v="3"/>
    <n v="2"/>
    <n v="80"/>
    <n v="0"/>
    <n v="10"/>
    <n v="2"/>
    <x v="1"/>
    <n v="10"/>
    <n v="9"/>
    <n v="1"/>
    <n v="8"/>
    <x v="1"/>
    <x v="0"/>
  </r>
  <r>
    <n v="59"/>
    <x v="1"/>
    <s v="Travel_Rarely"/>
    <n v="326"/>
    <x v="0"/>
    <n v="3"/>
    <n v="3"/>
    <s v="Life Sciences"/>
    <n v="1"/>
    <x v="897"/>
    <n v="3"/>
    <s v="Female"/>
    <n v="48"/>
    <n v="2"/>
    <n v="2"/>
    <x v="0"/>
    <x v="0"/>
    <s v="Single"/>
    <n v="5171"/>
    <n v="16490"/>
    <n v="5"/>
    <s v="Y"/>
    <x v="1"/>
    <n v="17"/>
    <n v="3"/>
    <n v="4"/>
    <n v="80"/>
    <n v="0"/>
    <n v="13"/>
    <n v="2"/>
    <x v="1"/>
    <n v="6"/>
    <n v="1"/>
    <n v="0"/>
    <n v="5"/>
    <x v="3"/>
    <x v="0"/>
  </r>
  <r>
    <n v="43"/>
    <x v="1"/>
    <s v="Travel_Rarely"/>
    <n v="920"/>
    <x v="1"/>
    <n v="3"/>
    <n v="3"/>
    <s v="Life Sciences"/>
    <n v="1"/>
    <x v="898"/>
    <n v="3"/>
    <s v="Male"/>
    <n v="96"/>
    <n v="1"/>
    <n v="5"/>
    <x v="7"/>
    <x v="0"/>
    <s v="Married"/>
    <n v="19740"/>
    <n v="18625"/>
    <n v="3"/>
    <s v="Y"/>
    <x v="1"/>
    <n v="14"/>
    <n v="3"/>
    <n v="2"/>
    <n v="80"/>
    <n v="1"/>
    <n v="25"/>
    <n v="2"/>
    <x v="1"/>
    <n v="8"/>
    <n v="7"/>
    <n v="0"/>
    <n v="7"/>
    <x v="0"/>
    <x v="2"/>
  </r>
  <r>
    <n v="49"/>
    <x v="1"/>
    <s v="Travel_Rarely"/>
    <n v="1098"/>
    <x v="1"/>
    <n v="4"/>
    <n v="2"/>
    <s v="Medical"/>
    <n v="1"/>
    <x v="899"/>
    <n v="1"/>
    <s v="Male"/>
    <n v="85"/>
    <n v="2"/>
    <n v="5"/>
    <x v="5"/>
    <x v="2"/>
    <s v="Married"/>
    <n v="18711"/>
    <n v="12124"/>
    <n v="2"/>
    <s v="Y"/>
    <x v="1"/>
    <n v="13"/>
    <n v="3"/>
    <n v="3"/>
    <n v="80"/>
    <n v="1"/>
    <n v="23"/>
    <n v="2"/>
    <x v="3"/>
    <n v="1"/>
    <n v="0"/>
    <n v="0"/>
    <n v="0"/>
    <x v="0"/>
    <x v="2"/>
  </r>
  <r>
    <n v="36"/>
    <x v="1"/>
    <s v="Travel_Frequently"/>
    <n v="469"/>
    <x v="1"/>
    <n v="3"/>
    <n v="3"/>
    <s v="Technical Degree"/>
    <n v="1"/>
    <x v="900"/>
    <n v="3"/>
    <s v="Male"/>
    <n v="46"/>
    <n v="3"/>
    <n v="1"/>
    <x v="1"/>
    <x v="1"/>
    <s v="Married"/>
    <n v="3692"/>
    <n v="9256"/>
    <n v="1"/>
    <s v="Y"/>
    <x v="1"/>
    <n v="12"/>
    <n v="3"/>
    <n v="3"/>
    <n v="80"/>
    <n v="0"/>
    <n v="12"/>
    <n v="2"/>
    <x v="2"/>
    <n v="11"/>
    <n v="10"/>
    <n v="0"/>
    <n v="7"/>
    <x v="1"/>
    <x v="1"/>
  </r>
  <r>
    <n v="48"/>
    <x v="1"/>
    <s v="Travel_Rarely"/>
    <n v="969"/>
    <x v="1"/>
    <n v="2"/>
    <n v="2"/>
    <s v="Technical Degree"/>
    <n v="1"/>
    <x v="901"/>
    <n v="4"/>
    <s v="Male"/>
    <n v="76"/>
    <n v="4"/>
    <n v="1"/>
    <x v="2"/>
    <x v="1"/>
    <s v="Single"/>
    <n v="2559"/>
    <n v="16620"/>
    <n v="5"/>
    <s v="Y"/>
    <x v="1"/>
    <n v="11"/>
    <n v="3"/>
    <n v="3"/>
    <n v="80"/>
    <n v="0"/>
    <n v="7"/>
    <n v="4"/>
    <x v="2"/>
    <n v="1"/>
    <n v="0"/>
    <n v="0"/>
    <n v="0"/>
    <x v="0"/>
    <x v="1"/>
  </r>
  <r>
    <n v="27"/>
    <x v="1"/>
    <s v="Travel_Rarely"/>
    <n v="1167"/>
    <x v="1"/>
    <n v="4"/>
    <n v="2"/>
    <s v="Life Sciences"/>
    <n v="1"/>
    <x v="902"/>
    <n v="1"/>
    <s v="Male"/>
    <n v="76"/>
    <n v="3"/>
    <n v="1"/>
    <x v="1"/>
    <x v="2"/>
    <s v="Divorced"/>
    <n v="2517"/>
    <n v="3208"/>
    <n v="1"/>
    <s v="Y"/>
    <x v="1"/>
    <n v="11"/>
    <n v="3"/>
    <n v="2"/>
    <n v="80"/>
    <n v="3"/>
    <n v="5"/>
    <n v="2"/>
    <x v="1"/>
    <n v="5"/>
    <n v="3"/>
    <n v="0"/>
    <n v="3"/>
    <x v="2"/>
    <x v="1"/>
  </r>
  <r>
    <n v="29"/>
    <x v="1"/>
    <s v="Travel_Rarely"/>
    <n v="1329"/>
    <x v="1"/>
    <n v="7"/>
    <n v="3"/>
    <s v="Life Sciences"/>
    <n v="1"/>
    <x v="903"/>
    <n v="3"/>
    <s v="Male"/>
    <n v="82"/>
    <n v="3"/>
    <n v="2"/>
    <x v="4"/>
    <x v="0"/>
    <s v="Divorced"/>
    <n v="6623"/>
    <n v="4204"/>
    <n v="1"/>
    <s v="Y"/>
    <x v="0"/>
    <n v="11"/>
    <n v="3"/>
    <n v="2"/>
    <n v="80"/>
    <n v="2"/>
    <n v="6"/>
    <n v="2"/>
    <x v="1"/>
    <n v="6"/>
    <n v="0"/>
    <n v="1"/>
    <n v="0"/>
    <x v="2"/>
    <x v="0"/>
  </r>
  <r>
    <n v="48"/>
    <x v="1"/>
    <s v="Travel_Rarely"/>
    <n v="715"/>
    <x v="1"/>
    <n v="1"/>
    <n v="3"/>
    <s v="Life Sciences"/>
    <n v="1"/>
    <x v="904"/>
    <n v="4"/>
    <s v="Male"/>
    <n v="76"/>
    <n v="2"/>
    <n v="5"/>
    <x v="7"/>
    <x v="0"/>
    <s v="Single"/>
    <n v="18265"/>
    <n v="8733"/>
    <n v="6"/>
    <s v="Y"/>
    <x v="1"/>
    <n v="12"/>
    <n v="3"/>
    <n v="3"/>
    <n v="80"/>
    <n v="0"/>
    <n v="25"/>
    <n v="3"/>
    <x v="3"/>
    <n v="1"/>
    <n v="0"/>
    <n v="0"/>
    <n v="0"/>
    <x v="0"/>
    <x v="2"/>
  </r>
  <r>
    <n v="29"/>
    <x v="1"/>
    <s v="Travel_Rarely"/>
    <n v="694"/>
    <x v="1"/>
    <n v="1"/>
    <n v="3"/>
    <s v="Life Sciences"/>
    <n v="1"/>
    <x v="905"/>
    <n v="4"/>
    <s v="Female"/>
    <n v="87"/>
    <n v="2"/>
    <n v="4"/>
    <x v="7"/>
    <x v="0"/>
    <s v="Divorced"/>
    <n v="16124"/>
    <n v="3423"/>
    <n v="3"/>
    <s v="Y"/>
    <x v="1"/>
    <n v="14"/>
    <n v="3"/>
    <n v="2"/>
    <n v="80"/>
    <n v="2"/>
    <n v="9"/>
    <n v="2"/>
    <x v="2"/>
    <n v="7"/>
    <n v="7"/>
    <n v="1"/>
    <n v="7"/>
    <x v="2"/>
    <x v="2"/>
  </r>
  <r>
    <n v="34"/>
    <x v="1"/>
    <s v="Travel_Rarely"/>
    <n v="1320"/>
    <x v="1"/>
    <n v="20"/>
    <n v="3"/>
    <s v="Technical Degree"/>
    <n v="1"/>
    <x v="906"/>
    <n v="3"/>
    <s v="Female"/>
    <n v="89"/>
    <n v="4"/>
    <n v="1"/>
    <x v="1"/>
    <x v="2"/>
    <s v="Married"/>
    <n v="2585"/>
    <n v="21643"/>
    <n v="0"/>
    <s v="Y"/>
    <x v="1"/>
    <n v="17"/>
    <n v="3"/>
    <n v="4"/>
    <n v="80"/>
    <n v="0"/>
    <n v="2"/>
    <n v="5"/>
    <x v="2"/>
    <n v="1"/>
    <n v="0"/>
    <n v="0"/>
    <n v="0"/>
    <x v="1"/>
    <x v="1"/>
  </r>
  <r>
    <n v="44"/>
    <x v="1"/>
    <s v="Travel_Rarely"/>
    <n v="1099"/>
    <x v="0"/>
    <n v="5"/>
    <n v="3"/>
    <s v="Marketing"/>
    <n v="1"/>
    <x v="907"/>
    <n v="2"/>
    <s v="Male"/>
    <n v="88"/>
    <n v="3"/>
    <n v="5"/>
    <x v="5"/>
    <x v="1"/>
    <s v="Married"/>
    <n v="18213"/>
    <n v="8751"/>
    <n v="7"/>
    <s v="Y"/>
    <x v="1"/>
    <n v="11"/>
    <n v="3"/>
    <n v="3"/>
    <n v="80"/>
    <n v="1"/>
    <n v="26"/>
    <n v="5"/>
    <x v="1"/>
    <n v="22"/>
    <n v="9"/>
    <n v="3"/>
    <n v="10"/>
    <x v="0"/>
    <x v="2"/>
  </r>
  <r>
    <n v="33"/>
    <x v="1"/>
    <s v="Travel_Rarely"/>
    <n v="536"/>
    <x v="0"/>
    <n v="10"/>
    <n v="5"/>
    <s v="Marketing"/>
    <n v="1"/>
    <x v="908"/>
    <n v="4"/>
    <s v="Male"/>
    <n v="82"/>
    <n v="4"/>
    <n v="3"/>
    <x v="0"/>
    <x v="2"/>
    <s v="Divorced"/>
    <n v="8380"/>
    <n v="21708"/>
    <n v="0"/>
    <s v="Y"/>
    <x v="0"/>
    <n v="14"/>
    <n v="3"/>
    <n v="4"/>
    <n v="80"/>
    <n v="2"/>
    <n v="10"/>
    <n v="3"/>
    <x v="1"/>
    <n v="9"/>
    <n v="8"/>
    <n v="0"/>
    <n v="8"/>
    <x v="1"/>
    <x v="2"/>
  </r>
  <r>
    <n v="19"/>
    <x v="1"/>
    <s v="Travel_Rarely"/>
    <n v="265"/>
    <x v="1"/>
    <n v="25"/>
    <n v="3"/>
    <s v="Life Sciences"/>
    <n v="1"/>
    <x v="909"/>
    <n v="2"/>
    <s v="Female"/>
    <n v="57"/>
    <n v="4"/>
    <n v="1"/>
    <x v="1"/>
    <x v="0"/>
    <s v="Single"/>
    <n v="2994"/>
    <n v="21221"/>
    <n v="1"/>
    <s v="Y"/>
    <x v="0"/>
    <n v="12"/>
    <n v="3"/>
    <n v="4"/>
    <n v="80"/>
    <n v="0"/>
    <n v="1"/>
    <n v="2"/>
    <x v="1"/>
    <n v="1"/>
    <n v="0"/>
    <n v="0"/>
    <n v="1"/>
    <x v="2"/>
    <x v="1"/>
  </r>
  <r>
    <n v="23"/>
    <x v="1"/>
    <s v="Travel_Rarely"/>
    <n v="373"/>
    <x v="1"/>
    <n v="1"/>
    <n v="2"/>
    <s v="Life Sciences"/>
    <n v="1"/>
    <x v="910"/>
    <n v="4"/>
    <s v="Male"/>
    <n v="47"/>
    <n v="3"/>
    <n v="1"/>
    <x v="1"/>
    <x v="2"/>
    <s v="Married"/>
    <n v="1223"/>
    <n v="16901"/>
    <n v="1"/>
    <s v="Y"/>
    <x v="1"/>
    <n v="22"/>
    <n v="4"/>
    <n v="4"/>
    <n v="80"/>
    <n v="1"/>
    <n v="1"/>
    <n v="2"/>
    <x v="1"/>
    <n v="1"/>
    <n v="0"/>
    <n v="0"/>
    <n v="1"/>
    <x v="2"/>
    <x v="1"/>
  </r>
  <r>
    <n v="25"/>
    <x v="0"/>
    <s v="Travel_Frequently"/>
    <n v="599"/>
    <x v="0"/>
    <n v="24"/>
    <n v="1"/>
    <s v="Life Sciences"/>
    <n v="1"/>
    <x v="911"/>
    <n v="3"/>
    <s v="Male"/>
    <n v="73"/>
    <n v="1"/>
    <n v="1"/>
    <x v="6"/>
    <x v="0"/>
    <s v="Single"/>
    <n v="1118"/>
    <n v="8040"/>
    <n v="1"/>
    <s v="Y"/>
    <x v="0"/>
    <n v="14"/>
    <n v="3"/>
    <n v="4"/>
    <n v="80"/>
    <n v="0"/>
    <n v="1"/>
    <n v="4"/>
    <x v="1"/>
    <n v="1"/>
    <n v="0"/>
    <n v="1"/>
    <n v="0"/>
    <x v="2"/>
    <x v="1"/>
  </r>
  <r>
    <n v="26"/>
    <x v="1"/>
    <s v="Travel_Rarely"/>
    <n v="583"/>
    <x v="1"/>
    <n v="4"/>
    <n v="2"/>
    <s v="Life Sciences"/>
    <n v="1"/>
    <x v="912"/>
    <n v="3"/>
    <s v="Male"/>
    <n v="53"/>
    <n v="3"/>
    <n v="1"/>
    <x v="1"/>
    <x v="0"/>
    <s v="Single"/>
    <n v="2875"/>
    <n v="9973"/>
    <n v="1"/>
    <s v="Y"/>
    <x v="0"/>
    <n v="20"/>
    <n v="4"/>
    <n v="2"/>
    <n v="80"/>
    <n v="0"/>
    <n v="8"/>
    <n v="2"/>
    <x v="2"/>
    <n v="8"/>
    <n v="5"/>
    <n v="2"/>
    <n v="2"/>
    <x v="2"/>
    <x v="1"/>
  </r>
  <r>
    <n v="45"/>
    <x v="0"/>
    <s v="Travel_Rarely"/>
    <n v="1449"/>
    <x v="0"/>
    <n v="2"/>
    <n v="3"/>
    <s v="Marketing"/>
    <n v="1"/>
    <x v="913"/>
    <n v="1"/>
    <s v="Female"/>
    <n v="94"/>
    <n v="1"/>
    <n v="5"/>
    <x v="5"/>
    <x v="1"/>
    <s v="Single"/>
    <n v="18824"/>
    <n v="2493"/>
    <n v="2"/>
    <s v="Y"/>
    <x v="0"/>
    <n v="16"/>
    <n v="3"/>
    <n v="1"/>
    <n v="80"/>
    <n v="0"/>
    <n v="26"/>
    <n v="2"/>
    <x v="1"/>
    <n v="24"/>
    <n v="10"/>
    <n v="1"/>
    <n v="11"/>
    <x v="0"/>
    <x v="2"/>
  </r>
  <r>
    <n v="55"/>
    <x v="1"/>
    <s v="Non-Travel"/>
    <n v="177"/>
    <x v="1"/>
    <n v="8"/>
    <n v="1"/>
    <s v="Medical"/>
    <n v="1"/>
    <x v="914"/>
    <n v="4"/>
    <s v="Male"/>
    <n v="37"/>
    <n v="2"/>
    <n v="4"/>
    <x v="4"/>
    <x v="1"/>
    <s v="Divorced"/>
    <n v="13577"/>
    <n v="25592"/>
    <n v="1"/>
    <s v="Y"/>
    <x v="0"/>
    <n v="15"/>
    <n v="3"/>
    <n v="4"/>
    <n v="80"/>
    <n v="1"/>
    <n v="34"/>
    <n v="3"/>
    <x v="1"/>
    <n v="33"/>
    <n v="9"/>
    <n v="15"/>
    <n v="0"/>
    <x v="3"/>
    <x v="2"/>
  </r>
  <r>
    <n v="21"/>
    <x v="0"/>
    <s v="Travel_Frequently"/>
    <n v="251"/>
    <x v="1"/>
    <n v="10"/>
    <n v="2"/>
    <s v="Life Sciences"/>
    <n v="1"/>
    <x v="915"/>
    <n v="1"/>
    <s v="Female"/>
    <n v="45"/>
    <n v="2"/>
    <n v="1"/>
    <x v="2"/>
    <x v="2"/>
    <s v="Single"/>
    <n v="2625"/>
    <n v="25308"/>
    <n v="1"/>
    <s v="Y"/>
    <x v="1"/>
    <n v="20"/>
    <n v="4"/>
    <n v="3"/>
    <n v="80"/>
    <n v="0"/>
    <n v="2"/>
    <n v="2"/>
    <x v="0"/>
    <n v="2"/>
    <n v="2"/>
    <n v="2"/>
    <n v="2"/>
    <x v="2"/>
    <x v="1"/>
  </r>
  <r>
    <n v="46"/>
    <x v="1"/>
    <s v="Travel_Rarely"/>
    <n v="168"/>
    <x v="0"/>
    <n v="4"/>
    <n v="2"/>
    <s v="Marketing"/>
    <n v="1"/>
    <x v="916"/>
    <n v="4"/>
    <s v="Female"/>
    <n v="33"/>
    <n v="2"/>
    <n v="5"/>
    <x v="5"/>
    <x v="1"/>
    <s v="Married"/>
    <n v="18789"/>
    <n v="9946"/>
    <n v="2"/>
    <s v="Y"/>
    <x v="1"/>
    <n v="14"/>
    <n v="3"/>
    <n v="3"/>
    <n v="80"/>
    <n v="1"/>
    <n v="26"/>
    <n v="2"/>
    <x v="1"/>
    <n v="11"/>
    <n v="4"/>
    <n v="0"/>
    <n v="8"/>
    <x v="0"/>
    <x v="2"/>
  </r>
  <r>
    <n v="34"/>
    <x v="1"/>
    <s v="Travel_Rarely"/>
    <n v="131"/>
    <x v="0"/>
    <n v="2"/>
    <n v="3"/>
    <s v="Marketing"/>
    <n v="1"/>
    <x v="917"/>
    <n v="3"/>
    <s v="Female"/>
    <n v="86"/>
    <n v="3"/>
    <n v="2"/>
    <x v="0"/>
    <x v="3"/>
    <s v="Single"/>
    <n v="4538"/>
    <n v="6039"/>
    <n v="0"/>
    <s v="Y"/>
    <x v="0"/>
    <n v="12"/>
    <n v="3"/>
    <n v="4"/>
    <n v="80"/>
    <n v="0"/>
    <n v="4"/>
    <n v="3"/>
    <x v="1"/>
    <n v="3"/>
    <n v="2"/>
    <n v="0"/>
    <n v="2"/>
    <x v="1"/>
    <x v="0"/>
  </r>
  <r>
    <n v="51"/>
    <x v="1"/>
    <s v="Travel_Frequently"/>
    <n v="237"/>
    <x v="0"/>
    <n v="9"/>
    <n v="3"/>
    <s v="Life Sciences"/>
    <n v="1"/>
    <x v="918"/>
    <n v="4"/>
    <s v="Male"/>
    <n v="83"/>
    <n v="3"/>
    <n v="5"/>
    <x v="5"/>
    <x v="1"/>
    <s v="Divorced"/>
    <n v="19847"/>
    <n v="19196"/>
    <n v="4"/>
    <s v="Y"/>
    <x v="0"/>
    <n v="24"/>
    <n v="4"/>
    <n v="1"/>
    <n v="80"/>
    <n v="1"/>
    <n v="31"/>
    <n v="5"/>
    <x v="2"/>
    <n v="29"/>
    <n v="10"/>
    <n v="11"/>
    <n v="10"/>
    <x v="3"/>
    <x v="2"/>
  </r>
  <r>
    <n v="59"/>
    <x v="1"/>
    <s v="Travel_Rarely"/>
    <n v="1429"/>
    <x v="1"/>
    <n v="18"/>
    <n v="4"/>
    <s v="Medical"/>
    <n v="1"/>
    <x v="919"/>
    <n v="4"/>
    <s v="Male"/>
    <n v="67"/>
    <n v="3"/>
    <n v="3"/>
    <x v="3"/>
    <x v="0"/>
    <s v="Single"/>
    <n v="10512"/>
    <n v="20002"/>
    <n v="6"/>
    <s v="Y"/>
    <x v="1"/>
    <n v="12"/>
    <n v="3"/>
    <n v="4"/>
    <n v="80"/>
    <n v="0"/>
    <n v="25"/>
    <n v="6"/>
    <x v="2"/>
    <n v="9"/>
    <n v="7"/>
    <n v="5"/>
    <n v="4"/>
    <x v="3"/>
    <x v="2"/>
  </r>
  <r>
    <n v="34"/>
    <x v="1"/>
    <s v="Travel_Frequently"/>
    <n v="135"/>
    <x v="1"/>
    <n v="19"/>
    <n v="3"/>
    <s v="Medical"/>
    <n v="1"/>
    <x v="920"/>
    <n v="3"/>
    <s v="Female"/>
    <n v="46"/>
    <n v="3"/>
    <n v="2"/>
    <x v="2"/>
    <x v="1"/>
    <s v="Divorced"/>
    <n v="4444"/>
    <n v="22534"/>
    <n v="4"/>
    <s v="Y"/>
    <x v="1"/>
    <n v="13"/>
    <n v="3"/>
    <n v="3"/>
    <n v="80"/>
    <n v="2"/>
    <n v="15"/>
    <n v="2"/>
    <x v="3"/>
    <n v="11"/>
    <n v="8"/>
    <n v="5"/>
    <n v="10"/>
    <x v="1"/>
    <x v="0"/>
  </r>
  <r>
    <n v="28"/>
    <x v="1"/>
    <s v="Travel_Frequently"/>
    <n v="791"/>
    <x v="1"/>
    <n v="1"/>
    <n v="4"/>
    <s v="Medical"/>
    <n v="1"/>
    <x v="921"/>
    <n v="4"/>
    <s v="Male"/>
    <n v="44"/>
    <n v="3"/>
    <n v="1"/>
    <x v="2"/>
    <x v="2"/>
    <s v="Single"/>
    <n v="2154"/>
    <n v="6842"/>
    <n v="0"/>
    <s v="Y"/>
    <x v="0"/>
    <n v="11"/>
    <n v="3"/>
    <n v="3"/>
    <n v="80"/>
    <n v="0"/>
    <n v="5"/>
    <n v="2"/>
    <x v="2"/>
    <n v="4"/>
    <n v="2"/>
    <n v="0"/>
    <n v="2"/>
    <x v="2"/>
    <x v="1"/>
  </r>
  <r>
    <n v="44"/>
    <x v="1"/>
    <s v="Travel_Rarely"/>
    <n v="1199"/>
    <x v="1"/>
    <n v="4"/>
    <n v="2"/>
    <s v="Life Sciences"/>
    <n v="1"/>
    <x v="922"/>
    <n v="3"/>
    <s v="Male"/>
    <n v="92"/>
    <n v="4"/>
    <n v="5"/>
    <x v="5"/>
    <x v="3"/>
    <s v="Divorced"/>
    <n v="19190"/>
    <n v="17477"/>
    <n v="1"/>
    <s v="Y"/>
    <x v="1"/>
    <n v="14"/>
    <n v="3"/>
    <n v="4"/>
    <n v="80"/>
    <n v="2"/>
    <n v="26"/>
    <n v="4"/>
    <x v="2"/>
    <n v="25"/>
    <n v="9"/>
    <n v="14"/>
    <n v="13"/>
    <x v="0"/>
    <x v="2"/>
  </r>
  <r>
    <n v="34"/>
    <x v="1"/>
    <s v="Travel_Frequently"/>
    <n v="648"/>
    <x v="2"/>
    <n v="11"/>
    <n v="3"/>
    <s v="Life Sciences"/>
    <n v="1"/>
    <x v="923"/>
    <n v="3"/>
    <s v="Male"/>
    <n v="56"/>
    <n v="2"/>
    <n v="2"/>
    <x v="8"/>
    <x v="1"/>
    <s v="Married"/>
    <n v="4490"/>
    <n v="21833"/>
    <n v="4"/>
    <s v="Y"/>
    <x v="1"/>
    <n v="11"/>
    <n v="3"/>
    <n v="4"/>
    <n v="80"/>
    <n v="2"/>
    <n v="14"/>
    <n v="5"/>
    <x v="3"/>
    <n v="10"/>
    <n v="9"/>
    <n v="1"/>
    <n v="8"/>
    <x v="1"/>
    <x v="0"/>
  </r>
  <r>
    <n v="35"/>
    <x v="1"/>
    <s v="Travel_Rarely"/>
    <n v="735"/>
    <x v="1"/>
    <n v="6"/>
    <n v="1"/>
    <s v="Life Sciences"/>
    <n v="1"/>
    <x v="924"/>
    <n v="3"/>
    <s v="Male"/>
    <n v="66"/>
    <n v="3"/>
    <n v="1"/>
    <x v="1"/>
    <x v="2"/>
    <s v="Married"/>
    <n v="3506"/>
    <n v="6020"/>
    <n v="0"/>
    <s v="Y"/>
    <x v="0"/>
    <n v="14"/>
    <n v="3"/>
    <n v="4"/>
    <n v="80"/>
    <n v="0"/>
    <n v="4"/>
    <n v="3"/>
    <x v="1"/>
    <n v="3"/>
    <n v="2"/>
    <n v="2"/>
    <n v="2"/>
    <x v="1"/>
    <x v="1"/>
  </r>
  <r>
    <n v="42"/>
    <x v="1"/>
    <s v="Travel_Rarely"/>
    <n v="603"/>
    <x v="1"/>
    <n v="7"/>
    <n v="4"/>
    <s v="Medical"/>
    <n v="1"/>
    <x v="925"/>
    <n v="2"/>
    <s v="Female"/>
    <n v="78"/>
    <n v="4"/>
    <n v="2"/>
    <x v="1"/>
    <x v="1"/>
    <s v="Married"/>
    <n v="2372"/>
    <n v="5628"/>
    <n v="6"/>
    <s v="Y"/>
    <x v="0"/>
    <n v="16"/>
    <n v="3"/>
    <n v="4"/>
    <n v="80"/>
    <n v="0"/>
    <n v="18"/>
    <n v="2"/>
    <x v="1"/>
    <n v="1"/>
    <n v="0"/>
    <n v="0"/>
    <n v="0"/>
    <x v="0"/>
    <x v="1"/>
  </r>
  <r>
    <n v="43"/>
    <x v="1"/>
    <s v="Travel_Rarely"/>
    <n v="531"/>
    <x v="0"/>
    <n v="4"/>
    <n v="4"/>
    <s v="Marketing"/>
    <n v="1"/>
    <x v="926"/>
    <n v="4"/>
    <s v="Female"/>
    <n v="56"/>
    <n v="2"/>
    <n v="3"/>
    <x v="0"/>
    <x v="0"/>
    <s v="Single"/>
    <n v="10231"/>
    <n v="20364"/>
    <n v="3"/>
    <s v="Y"/>
    <x v="1"/>
    <n v="14"/>
    <n v="3"/>
    <n v="4"/>
    <n v="80"/>
    <n v="0"/>
    <n v="23"/>
    <n v="3"/>
    <x v="3"/>
    <n v="21"/>
    <n v="7"/>
    <n v="15"/>
    <n v="17"/>
    <x v="0"/>
    <x v="2"/>
  </r>
  <r>
    <n v="36"/>
    <x v="1"/>
    <s v="Travel_Rarely"/>
    <n v="429"/>
    <x v="1"/>
    <n v="2"/>
    <n v="4"/>
    <s v="Life Sciences"/>
    <n v="1"/>
    <x v="927"/>
    <n v="3"/>
    <s v="Female"/>
    <n v="53"/>
    <n v="3"/>
    <n v="2"/>
    <x v="3"/>
    <x v="1"/>
    <s v="Single"/>
    <n v="5410"/>
    <n v="2323"/>
    <n v="9"/>
    <s v="Y"/>
    <x v="0"/>
    <n v="11"/>
    <n v="3"/>
    <n v="4"/>
    <n v="80"/>
    <n v="0"/>
    <n v="18"/>
    <n v="2"/>
    <x v="1"/>
    <n v="16"/>
    <n v="14"/>
    <n v="5"/>
    <n v="12"/>
    <x v="1"/>
    <x v="0"/>
  </r>
  <r>
    <n v="44"/>
    <x v="0"/>
    <s v="Travel_Rarely"/>
    <n v="621"/>
    <x v="1"/>
    <n v="15"/>
    <n v="3"/>
    <s v="Medical"/>
    <n v="1"/>
    <x v="928"/>
    <n v="1"/>
    <s v="Female"/>
    <n v="73"/>
    <n v="3"/>
    <n v="3"/>
    <x v="4"/>
    <x v="0"/>
    <s v="Married"/>
    <n v="7978"/>
    <n v="14075"/>
    <n v="1"/>
    <s v="Y"/>
    <x v="1"/>
    <n v="11"/>
    <n v="3"/>
    <n v="4"/>
    <n v="80"/>
    <n v="1"/>
    <n v="10"/>
    <n v="2"/>
    <x v="1"/>
    <n v="10"/>
    <n v="7"/>
    <n v="0"/>
    <n v="5"/>
    <x v="0"/>
    <x v="2"/>
  </r>
  <r>
    <n v="28"/>
    <x v="1"/>
    <s v="Travel_Frequently"/>
    <n v="193"/>
    <x v="1"/>
    <n v="2"/>
    <n v="3"/>
    <s v="Life Sciences"/>
    <n v="1"/>
    <x v="929"/>
    <n v="4"/>
    <s v="Male"/>
    <n v="52"/>
    <n v="2"/>
    <n v="1"/>
    <x v="2"/>
    <x v="0"/>
    <s v="Married"/>
    <n v="3867"/>
    <n v="14222"/>
    <n v="1"/>
    <s v="Y"/>
    <x v="0"/>
    <n v="12"/>
    <n v="3"/>
    <n v="2"/>
    <n v="80"/>
    <n v="1"/>
    <n v="2"/>
    <n v="2"/>
    <x v="1"/>
    <n v="2"/>
    <n v="2"/>
    <n v="2"/>
    <n v="2"/>
    <x v="2"/>
    <x v="1"/>
  </r>
  <r>
    <n v="51"/>
    <x v="1"/>
    <s v="Travel_Frequently"/>
    <n v="968"/>
    <x v="1"/>
    <n v="6"/>
    <n v="2"/>
    <s v="Medical"/>
    <n v="1"/>
    <x v="930"/>
    <n v="2"/>
    <s v="Female"/>
    <n v="40"/>
    <n v="2"/>
    <n v="1"/>
    <x v="2"/>
    <x v="2"/>
    <s v="Single"/>
    <n v="2838"/>
    <n v="4257"/>
    <n v="0"/>
    <s v="Y"/>
    <x v="1"/>
    <n v="14"/>
    <n v="3"/>
    <n v="2"/>
    <n v="80"/>
    <n v="0"/>
    <n v="8"/>
    <n v="6"/>
    <x v="2"/>
    <n v="7"/>
    <n v="0"/>
    <n v="7"/>
    <n v="7"/>
    <x v="3"/>
    <x v="1"/>
  </r>
  <r>
    <n v="30"/>
    <x v="1"/>
    <s v="Non-Travel"/>
    <n v="879"/>
    <x v="1"/>
    <n v="9"/>
    <n v="2"/>
    <s v="Medical"/>
    <n v="1"/>
    <x v="931"/>
    <n v="3"/>
    <s v="Female"/>
    <n v="72"/>
    <n v="3"/>
    <n v="2"/>
    <x v="3"/>
    <x v="2"/>
    <s v="Single"/>
    <n v="4695"/>
    <n v="12858"/>
    <n v="7"/>
    <s v="Y"/>
    <x v="0"/>
    <n v="18"/>
    <n v="3"/>
    <n v="3"/>
    <n v="80"/>
    <n v="0"/>
    <n v="10"/>
    <n v="3"/>
    <x v="1"/>
    <n v="8"/>
    <n v="4"/>
    <n v="1"/>
    <n v="7"/>
    <x v="1"/>
    <x v="0"/>
  </r>
  <r>
    <n v="29"/>
    <x v="0"/>
    <s v="Travel_Rarely"/>
    <n v="806"/>
    <x v="1"/>
    <n v="7"/>
    <n v="3"/>
    <s v="Technical Degree"/>
    <n v="1"/>
    <x v="932"/>
    <n v="2"/>
    <s v="Female"/>
    <n v="39"/>
    <n v="3"/>
    <n v="1"/>
    <x v="2"/>
    <x v="2"/>
    <s v="Divorced"/>
    <n v="3339"/>
    <n v="17285"/>
    <n v="3"/>
    <s v="Y"/>
    <x v="0"/>
    <n v="13"/>
    <n v="3"/>
    <n v="1"/>
    <n v="80"/>
    <n v="2"/>
    <n v="10"/>
    <n v="2"/>
    <x v="1"/>
    <n v="7"/>
    <n v="7"/>
    <n v="7"/>
    <n v="7"/>
    <x v="2"/>
    <x v="1"/>
  </r>
  <r>
    <n v="28"/>
    <x v="1"/>
    <s v="Travel_Rarely"/>
    <n v="640"/>
    <x v="1"/>
    <n v="1"/>
    <n v="3"/>
    <s v="Technical Degree"/>
    <n v="1"/>
    <x v="933"/>
    <n v="4"/>
    <s v="Male"/>
    <n v="84"/>
    <n v="3"/>
    <n v="1"/>
    <x v="1"/>
    <x v="3"/>
    <s v="Single"/>
    <n v="2080"/>
    <n v="4732"/>
    <n v="2"/>
    <s v="Y"/>
    <x v="1"/>
    <n v="11"/>
    <n v="3"/>
    <n v="2"/>
    <n v="80"/>
    <n v="0"/>
    <n v="5"/>
    <n v="2"/>
    <x v="2"/>
    <n v="3"/>
    <n v="2"/>
    <n v="1"/>
    <n v="2"/>
    <x v="2"/>
    <x v="1"/>
  </r>
  <r>
    <n v="25"/>
    <x v="1"/>
    <s v="Travel_Rarely"/>
    <n v="266"/>
    <x v="1"/>
    <n v="1"/>
    <n v="3"/>
    <s v="Medical"/>
    <n v="1"/>
    <x v="934"/>
    <n v="4"/>
    <s v="Female"/>
    <n v="40"/>
    <n v="3"/>
    <n v="1"/>
    <x v="1"/>
    <x v="1"/>
    <s v="Single"/>
    <n v="2096"/>
    <n v="18830"/>
    <n v="1"/>
    <s v="Y"/>
    <x v="1"/>
    <n v="18"/>
    <n v="3"/>
    <n v="4"/>
    <n v="80"/>
    <n v="0"/>
    <n v="2"/>
    <n v="3"/>
    <x v="2"/>
    <n v="2"/>
    <n v="2"/>
    <n v="2"/>
    <n v="1"/>
    <x v="2"/>
    <x v="1"/>
  </r>
  <r>
    <n v="32"/>
    <x v="1"/>
    <s v="Travel_Rarely"/>
    <n v="604"/>
    <x v="0"/>
    <n v="8"/>
    <n v="3"/>
    <s v="Medical"/>
    <n v="1"/>
    <x v="935"/>
    <n v="3"/>
    <s v="Male"/>
    <n v="56"/>
    <n v="4"/>
    <n v="2"/>
    <x v="0"/>
    <x v="0"/>
    <s v="Married"/>
    <n v="6209"/>
    <n v="11693"/>
    <n v="1"/>
    <s v="Y"/>
    <x v="1"/>
    <n v="15"/>
    <n v="3"/>
    <n v="3"/>
    <n v="80"/>
    <n v="2"/>
    <n v="10"/>
    <n v="4"/>
    <x v="3"/>
    <n v="10"/>
    <n v="7"/>
    <n v="0"/>
    <n v="8"/>
    <x v="1"/>
    <x v="0"/>
  </r>
  <r>
    <n v="45"/>
    <x v="1"/>
    <s v="Travel_Frequently"/>
    <n v="364"/>
    <x v="1"/>
    <n v="25"/>
    <n v="3"/>
    <s v="Medical"/>
    <n v="1"/>
    <x v="936"/>
    <n v="2"/>
    <s v="Female"/>
    <n v="83"/>
    <n v="3"/>
    <n v="5"/>
    <x v="5"/>
    <x v="1"/>
    <s v="Single"/>
    <n v="18061"/>
    <n v="13035"/>
    <n v="3"/>
    <s v="Y"/>
    <x v="1"/>
    <n v="22"/>
    <n v="4"/>
    <n v="3"/>
    <n v="80"/>
    <n v="0"/>
    <n v="22"/>
    <n v="4"/>
    <x v="1"/>
    <n v="0"/>
    <n v="0"/>
    <n v="0"/>
    <n v="0"/>
    <x v="0"/>
    <x v="2"/>
  </r>
  <r>
    <n v="39"/>
    <x v="1"/>
    <s v="Travel_Rarely"/>
    <n v="412"/>
    <x v="1"/>
    <n v="13"/>
    <n v="4"/>
    <s v="Medical"/>
    <n v="1"/>
    <x v="937"/>
    <n v="3"/>
    <s v="Female"/>
    <n v="94"/>
    <n v="2"/>
    <n v="4"/>
    <x v="5"/>
    <x v="1"/>
    <s v="Divorced"/>
    <n v="17123"/>
    <n v="17334"/>
    <n v="6"/>
    <s v="Y"/>
    <x v="0"/>
    <n v="13"/>
    <n v="3"/>
    <n v="4"/>
    <n v="80"/>
    <n v="2"/>
    <n v="21"/>
    <n v="4"/>
    <x v="1"/>
    <n v="19"/>
    <n v="9"/>
    <n v="15"/>
    <n v="2"/>
    <x v="1"/>
    <x v="2"/>
  </r>
  <r>
    <n v="58"/>
    <x v="1"/>
    <s v="Travel_Rarely"/>
    <n v="848"/>
    <x v="1"/>
    <n v="23"/>
    <n v="4"/>
    <s v="Life Sciences"/>
    <n v="1"/>
    <x v="938"/>
    <n v="1"/>
    <s v="Male"/>
    <n v="88"/>
    <n v="3"/>
    <n v="1"/>
    <x v="1"/>
    <x v="2"/>
    <s v="Divorced"/>
    <n v="2372"/>
    <n v="26076"/>
    <n v="1"/>
    <s v="Y"/>
    <x v="1"/>
    <n v="12"/>
    <n v="3"/>
    <n v="4"/>
    <n v="80"/>
    <n v="2"/>
    <n v="2"/>
    <n v="3"/>
    <x v="1"/>
    <n v="2"/>
    <n v="2"/>
    <n v="2"/>
    <n v="2"/>
    <x v="3"/>
    <x v="1"/>
  </r>
  <r>
    <n v="32"/>
    <x v="0"/>
    <s v="Travel_Rarely"/>
    <n v="1089"/>
    <x v="1"/>
    <n v="7"/>
    <n v="2"/>
    <s v="Life Sciences"/>
    <n v="1"/>
    <x v="939"/>
    <n v="4"/>
    <s v="Male"/>
    <n v="79"/>
    <n v="3"/>
    <n v="2"/>
    <x v="2"/>
    <x v="2"/>
    <s v="Married"/>
    <n v="4883"/>
    <n v="22845"/>
    <n v="1"/>
    <s v="Y"/>
    <x v="1"/>
    <n v="18"/>
    <n v="3"/>
    <n v="1"/>
    <n v="80"/>
    <n v="1"/>
    <n v="10"/>
    <n v="3"/>
    <x v="1"/>
    <n v="10"/>
    <n v="4"/>
    <n v="1"/>
    <n v="1"/>
    <x v="1"/>
    <x v="0"/>
  </r>
  <r>
    <n v="39"/>
    <x v="0"/>
    <s v="Travel_Rarely"/>
    <n v="360"/>
    <x v="1"/>
    <n v="23"/>
    <n v="3"/>
    <s v="Medical"/>
    <n v="1"/>
    <x v="940"/>
    <n v="3"/>
    <s v="Male"/>
    <n v="93"/>
    <n v="3"/>
    <n v="1"/>
    <x v="1"/>
    <x v="3"/>
    <s v="Single"/>
    <n v="3904"/>
    <n v="22154"/>
    <n v="0"/>
    <s v="Y"/>
    <x v="1"/>
    <n v="13"/>
    <n v="3"/>
    <n v="1"/>
    <n v="80"/>
    <n v="0"/>
    <n v="6"/>
    <n v="2"/>
    <x v="1"/>
    <n v="5"/>
    <n v="2"/>
    <n v="0"/>
    <n v="3"/>
    <x v="1"/>
    <x v="1"/>
  </r>
  <r>
    <n v="30"/>
    <x v="1"/>
    <s v="Travel_Rarely"/>
    <n v="1138"/>
    <x v="1"/>
    <n v="6"/>
    <n v="3"/>
    <s v="Technical Degree"/>
    <n v="1"/>
    <x v="941"/>
    <n v="1"/>
    <s v="Female"/>
    <n v="48"/>
    <n v="2"/>
    <n v="2"/>
    <x v="2"/>
    <x v="0"/>
    <s v="Married"/>
    <n v="4627"/>
    <n v="23631"/>
    <n v="0"/>
    <s v="Y"/>
    <x v="1"/>
    <n v="12"/>
    <n v="3"/>
    <n v="1"/>
    <n v="80"/>
    <n v="1"/>
    <n v="10"/>
    <n v="6"/>
    <x v="1"/>
    <n v="9"/>
    <n v="2"/>
    <n v="6"/>
    <n v="7"/>
    <x v="1"/>
    <x v="0"/>
  </r>
  <r>
    <n v="36"/>
    <x v="1"/>
    <s v="Travel_Rarely"/>
    <n v="325"/>
    <x v="1"/>
    <n v="10"/>
    <n v="4"/>
    <s v="Technical Degree"/>
    <n v="1"/>
    <x v="942"/>
    <n v="4"/>
    <s v="Female"/>
    <n v="63"/>
    <n v="3"/>
    <n v="3"/>
    <x v="4"/>
    <x v="2"/>
    <s v="Married"/>
    <n v="7094"/>
    <n v="5747"/>
    <n v="3"/>
    <s v="Y"/>
    <x v="1"/>
    <n v="12"/>
    <n v="3"/>
    <n v="1"/>
    <n v="80"/>
    <n v="0"/>
    <n v="10"/>
    <n v="0"/>
    <x v="1"/>
    <n v="7"/>
    <n v="7"/>
    <n v="1"/>
    <n v="7"/>
    <x v="1"/>
    <x v="2"/>
  </r>
  <r>
    <n v="46"/>
    <x v="1"/>
    <s v="Travel_Rarely"/>
    <n v="991"/>
    <x v="2"/>
    <n v="1"/>
    <n v="2"/>
    <s v="Life Sciences"/>
    <n v="1"/>
    <x v="943"/>
    <n v="4"/>
    <s v="Female"/>
    <n v="44"/>
    <n v="3"/>
    <n v="1"/>
    <x v="8"/>
    <x v="3"/>
    <s v="Single"/>
    <n v="3423"/>
    <n v="22957"/>
    <n v="6"/>
    <s v="Y"/>
    <x v="1"/>
    <n v="12"/>
    <n v="3"/>
    <n v="3"/>
    <n v="80"/>
    <n v="0"/>
    <n v="10"/>
    <n v="3"/>
    <x v="3"/>
    <n v="7"/>
    <n v="6"/>
    <n v="5"/>
    <n v="7"/>
    <x v="0"/>
    <x v="1"/>
  </r>
  <r>
    <n v="28"/>
    <x v="1"/>
    <s v="Non-Travel"/>
    <n v="1476"/>
    <x v="1"/>
    <n v="1"/>
    <n v="3"/>
    <s v="Life Sciences"/>
    <n v="1"/>
    <x v="944"/>
    <n v="3"/>
    <s v="Female"/>
    <n v="55"/>
    <n v="1"/>
    <n v="2"/>
    <x v="2"/>
    <x v="0"/>
    <s v="Married"/>
    <n v="6674"/>
    <n v="16392"/>
    <n v="0"/>
    <s v="Y"/>
    <x v="1"/>
    <n v="11"/>
    <n v="3"/>
    <n v="1"/>
    <n v="80"/>
    <n v="3"/>
    <n v="10"/>
    <n v="6"/>
    <x v="1"/>
    <n v="9"/>
    <n v="8"/>
    <n v="7"/>
    <n v="5"/>
    <x v="2"/>
    <x v="0"/>
  </r>
  <r>
    <n v="50"/>
    <x v="1"/>
    <s v="Travel_Rarely"/>
    <n v="1322"/>
    <x v="1"/>
    <n v="28"/>
    <n v="3"/>
    <s v="Life Sciences"/>
    <n v="1"/>
    <x v="945"/>
    <n v="4"/>
    <s v="Female"/>
    <n v="43"/>
    <n v="3"/>
    <n v="4"/>
    <x v="7"/>
    <x v="3"/>
    <s v="Married"/>
    <n v="16880"/>
    <n v="22422"/>
    <n v="4"/>
    <s v="Y"/>
    <x v="0"/>
    <n v="11"/>
    <n v="3"/>
    <n v="2"/>
    <n v="80"/>
    <n v="0"/>
    <n v="25"/>
    <n v="2"/>
    <x v="1"/>
    <n v="3"/>
    <n v="2"/>
    <n v="1"/>
    <n v="2"/>
    <x v="0"/>
    <x v="2"/>
  </r>
  <r>
    <n v="40"/>
    <x v="0"/>
    <s v="Travel_Rarely"/>
    <n v="299"/>
    <x v="0"/>
    <n v="25"/>
    <n v="4"/>
    <s v="Marketing"/>
    <n v="1"/>
    <x v="946"/>
    <n v="4"/>
    <s v="Male"/>
    <n v="57"/>
    <n v="2"/>
    <n v="3"/>
    <x v="0"/>
    <x v="1"/>
    <s v="Single"/>
    <n v="9094"/>
    <n v="17235"/>
    <n v="2"/>
    <s v="Y"/>
    <x v="0"/>
    <n v="12"/>
    <n v="3"/>
    <n v="3"/>
    <n v="80"/>
    <n v="0"/>
    <n v="9"/>
    <n v="2"/>
    <x v="1"/>
    <n v="5"/>
    <n v="4"/>
    <n v="1"/>
    <n v="0"/>
    <x v="1"/>
    <x v="2"/>
  </r>
  <r>
    <n v="52"/>
    <x v="0"/>
    <s v="Travel_Rarely"/>
    <n v="1030"/>
    <x v="0"/>
    <n v="5"/>
    <n v="3"/>
    <s v="Life Sciences"/>
    <n v="1"/>
    <x v="947"/>
    <n v="2"/>
    <s v="Male"/>
    <n v="64"/>
    <n v="3"/>
    <n v="3"/>
    <x v="0"/>
    <x v="1"/>
    <s v="Single"/>
    <n v="8446"/>
    <n v="21534"/>
    <n v="9"/>
    <s v="Y"/>
    <x v="0"/>
    <n v="19"/>
    <n v="3"/>
    <n v="3"/>
    <n v="80"/>
    <n v="0"/>
    <n v="10"/>
    <n v="2"/>
    <x v="2"/>
    <n v="8"/>
    <n v="7"/>
    <n v="7"/>
    <n v="7"/>
    <x v="3"/>
    <x v="2"/>
  </r>
  <r>
    <n v="30"/>
    <x v="1"/>
    <s v="Travel_Rarely"/>
    <n v="634"/>
    <x v="1"/>
    <n v="17"/>
    <n v="4"/>
    <s v="Medical"/>
    <n v="1"/>
    <x v="948"/>
    <n v="2"/>
    <s v="Female"/>
    <n v="95"/>
    <n v="3"/>
    <n v="3"/>
    <x v="5"/>
    <x v="3"/>
    <s v="Married"/>
    <n v="11916"/>
    <n v="25927"/>
    <n v="1"/>
    <s v="Y"/>
    <x v="0"/>
    <n v="23"/>
    <n v="4"/>
    <n v="4"/>
    <n v="80"/>
    <n v="2"/>
    <n v="9"/>
    <n v="2"/>
    <x v="1"/>
    <n v="9"/>
    <n v="1"/>
    <n v="0"/>
    <n v="8"/>
    <x v="1"/>
    <x v="2"/>
  </r>
  <r>
    <n v="39"/>
    <x v="1"/>
    <s v="Travel_Rarely"/>
    <n v="524"/>
    <x v="1"/>
    <n v="18"/>
    <n v="2"/>
    <s v="Life Sciences"/>
    <n v="1"/>
    <x v="949"/>
    <n v="1"/>
    <s v="Male"/>
    <n v="32"/>
    <n v="3"/>
    <n v="2"/>
    <x v="3"/>
    <x v="2"/>
    <s v="Single"/>
    <n v="4534"/>
    <n v="13352"/>
    <n v="0"/>
    <s v="Y"/>
    <x v="1"/>
    <n v="11"/>
    <n v="3"/>
    <n v="1"/>
    <n v="80"/>
    <n v="0"/>
    <n v="9"/>
    <n v="6"/>
    <x v="1"/>
    <n v="8"/>
    <n v="7"/>
    <n v="1"/>
    <n v="7"/>
    <x v="1"/>
    <x v="0"/>
  </r>
  <r>
    <n v="31"/>
    <x v="1"/>
    <s v="Non-Travel"/>
    <n v="587"/>
    <x v="0"/>
    <n v="2"/>
    <n v="4"/>
    <s v="Life Sciences"/>
    <n v="1"/>
    <x v="950"/>
    <n v="4"/>
    <s v="Female"/>
    <n v="57"/>
    <n v="3"/>
    <n v="3"/>
    <x v="0"/>
    <x v="2"/>
    <s v="Divorced"/>
    <n v="9852"/>
    <n v="8935"/>
    <n v="1"/>
    <s v="Y"/>
    <x v="0"/>
    <n v="19"/>
    <n v="3"/>
    <n v="1"/>
    <n v="80"/>
    <n v="1"/>
    <n v="10"/>
    <n v="5"/>
    <x v="2"/>
    <n v="10"/>
    <n v="8"/>
    <n v="9"/>
    <n v="6"/>
    <x v="1"/>
    <x v="2"/>
  </r>
  <r>
    <n v="41"/>
    <x v="1"/>
    <s v="Non-Travel"/>
    <n v="256"/>
    <x v="0"/>
    <n v="10"/>
    <n v="2"/>
    <s v="Medical"/>
    <n v="1"/>
    <x v="951"/>
    <n v="3"/>
    <s v="Male"/>
    <n v="40"/>
    <n v="1"/>
    <n v="2"/>
    <x v="0"/>
    <x v="1"/>
    <s v="Single"/>
    <n v="6151"/>
    <n v="22074"/>
    <n v="1"/>
    <s v="Y"/>
    <x v="1"/>
    <n v="13"/>
    <n v="3"/>
    <n v="1"/>
    <n v="80"/>
    <n v="0"/>
    <n v="19"/>
    <n v="4"/>
    <x v="1"/>
    <n v="19"/>
    <n v="2"/>
    <n v="11"/>
    <n v="9"/>
    <x v="0"/>
    <x v="0"/>
  </r>
  <r>
    <n v="31"/>
    <x v="0"/>
    <s v="Travel_Frequently"/>
    <n v="1060"/>
    <x v="0"/>
    <n v="1"/>
    <n v="3"/>
    <s v="Life Sciences"/>
    <n v="1"/>
    <x v="952"/>
    <n v="4"/>
    <s v="Female"/>
    <n v="54"/>
    <n v="3"/>
    <n v="1"/>
    <x v="6"/>
    <x v="1"/>
    <s v="Single"/>
    <n v="2302"/>
    <n v="8319"/>
    <n v="1"/>
    <s v="Y"/>
    <x v="0"/>
    <n v="11"/>
    <n v="3"/>
    <n v="1"/>
    <n v="80"/>
    <n v="0"/>
    <n v="3"/>
    <n v="2"/>
    <x v="3"/>
    <n v="3"/>
    <n v="2"/>
    <n v="2"/>
    <n v="2"/>
    <x v="1"/>
    <x v="1"/>
  </r>
  <r>
    <n v="44"/>
    <x v="0"/>
    <s v="Travel_Rarely"/>
    <n v="935"/>
    <x v="1"/>
    <n v="3"/>
    <n v="3"/>
    <s v="Life Sciences"/>
    <n v="1"/>
    <x v="953"/>
    <n v="1"/>
    <s v="Male"/>
    <n v="89"/>
    <n v="3"/>
    <n v="1"/>
    <x v="2"/>
    <x v="3"/>
    <s v="Married"/>
    <n v="2362"/>
    <n v="14669"/>
    <n v="4"/>
    <s v="Y"/>
    <x v="1"/>
    <n v="12"/>
    <n v="3"/>
    <n v="3"/>
    <n v="80"/>
    <n v="0"/>
    <n v="10"/>
    <n v="4"/>
    <x v="3"/>
    <n v="3"/>
    <n v="2"/>
    <n v="1"/>
    <n v="2"/>
    <x v="0"/>
    <x v="1"/>
  </r>
  <r>
    <n v="42"/>
    <x v="1"/>
    <s v="Non-Travel"/>
    <n v="495"/>
    <x v="1"/>
    <n v="2"/>
    <n v="1"/>
    <s v="Life Sciences"/>
    <n v="1"/>
    <x v="954"/>
    <n v="3"/>
    <s v="Male"/>
    <n v="37"/>
    <n v="3"/>
    <n v="4"/>
    <x v="5"/>
    <x v="2"/>
    <s v="Married"/>
    <n v="17861"/>
    <n v="26582"/>
    <n v="0"/>
    <s v="Y"/>
    <x v="0"/>
    <n v="13"/>
    <n v="3"/>
    <n v="4"/>
    <n v="80"/>
    <n v="0"/>
    <n v="21"/>
    <n v="3"/>
    <x v="2"/>
    <n v="20"/>
    <n v="8"/>
    <n v="2"/>
    <n v="10"/>
    <x v="0"/>
    <x v="2"/>
  </r>
  <r>
    <n v="55"/>
    <x v="1"/>
    <s v="Travel_Rarely"/>
    <n v="282"/>
    <x v="1"/>
    <n v="2"/>
    <n v="2"/>
    <s v="Medical"/>
    <n v="1"/>
    <x v="955"/>
    <n v="4"/>
    <s v="Female"/>
    <n v="58"/>
    <n v="1"/>
    <n v="5"/>
    <x v="5"/>
    <x v="2"/>
    <s v="Married"/>
    <n v="19187"/>
    <n v="6992"/>
    <n v="4"/>
    <s v="Y"/>
    <x v="1"/>
    <n v="14"/>
    <n v="3"/>
    <n v="4"/>
    <n v="80"/>
    <n v="1"/>
    <n v="23"/>
    <n v="5"/>
    <x v="1"/>
    <n v="19"/>
    <n v="9"/>
    <n v="9"/>
    <n v="11"/>
    <x v="3"/>
    <x v="2"/>
  </r>
  <r>
    <n v="56"/>
    <x v="1"/>
    <s v="Travel_Rarely"/>
    <n v="206"/>
    <x v="2"/>
    <n v="8"/>
    <n v="4"/>
    <s v="Life Sciences"/>
    <n v="1"/>
    <x v="956"/>
    <n v="4"/>
    <s v="Male"/>
    <n v="99"/>
    <n v="3"/>
    <n v="5"/>
    <x v="5"/>
    <x v="1"/>
    <s v="Single"/>
    <n v="19717"/>
    <n v="4022"/>
    <n v="6"/>
    <s v="Y"/>
    <x v="1"/>
    <n v="14"/>
    <n v="3"/>
    <n v="1"/>
    <n v="80"/>
    <n v="0"/>
    <n v="36"/>
    <n v="4"/>
    <x v="1"/>
    <n v="7"/>
    <n v="3"/>
    <n v="7"/>
    <n v="7"/>
    <x v="3"/>
    <x v="2"/>
  </r>
  <r>
    <n v="40"/>
    <x v="1"/>
    <s v="Non-Travel"/>
    <n v="458"/>
    <x v="1"/>
    <n v="16"/>
    <n v="2"/>
    <s v="Life Sciences"/>
    <n v="1"/>
    <x v="957"/>
    <n v="3"/>
    <s v="Male"/>
    <n v="74"/>
    <n v="3"/>
    <n v="1"/>
    <x v="1"/>
    <x v="2"/>
    <s v="Divorced"/>
    <n v="3544"/>
    <n v="8532"/>
    <n v="9"/>
    <s v="Y"/>
    <x v="1"/>
    <n v="16"/>
    <n v="3"/>
    <n v="2"/>
    <n v="80"/>
    <n v="1"/>
    <n v="6"/>
    <n v="0"/>
    <x v="1"/>
    <n v="4"/>
    <n v="2"/>
    <n v="0"/>
    <n v="0"/>
    <x v="1"/>
    <x v="1"/>
  </r>
  <r>
    <n v="34"/>
    <x v="1"/>
    <s v="Travel_Rarely"/>
    <n v="943"/>
    <x v="1"/>
    <n v="9"/>
    <n v="3"/>
    <s v="Life Sciences"/>
    <n v="1"/>
    <x v="958"/>
    <n v="4"/>
    <s v="Male"/>
    <n v="86"/>
    <n v="3"/>
    <n v="3"/>
    <x v="4"/>
    <x v="0"/>
    <s v="Divorced"/>
    <n v="8500"/>
    <n v="5494"/>
    <n v="0"/>
    <s v="Y"/>
    <x v="1"/>
    <n v="11"/>
    <n v="3"/>
    <n v="4"/>
    <n v="80"/>
    <n v="1"/>
    <n v="10"/>
    <n v="0"/>
    <x v="2"/>
    <n v="9"/>
    <n v="7"/>
    <n v="1"/>
    <n v="6"/>
    <x v="1"/>
    <x v="2"/>
  </r>
  <r>
    <n v="40"/>
    <x v="1"/>
    <s v="Travel_Rarely"/>
    <n v="523"/>
    <x v="1"/>
    <n v="2"/>
    <n v="3"/>
    <s v="Life Sciences"/>
    <n v="1"/>
    <x v="959"/>
    <n v="3"/>
    <s v="Male"/>
    <n v="98"/>
    <n v="3"/>
    <n v="2"/>
    <x v="1"/>
    <x v="0"/>
    <s v="Single"/>
    <n v="4661"/>
    <n v="22455"/>
    <n v="1"/>
    <s v="Y"/>
    <x v="1"/>
    <n v="13"/>
    <n v="3"/>
    <n v="3"/>
    <n v="80"/>
    <n v="0"/>
    <n v="9"/>
    <n v="4"/>
    <x v="1"/>
    <n v="9"/>
    <n v="8"/>
    <n v="8"/>
    <n v="8"/>
    <x v="1"/>
    <x v="0"/>
  </r>
  <r>
    <n v="41"/>
    <x v="1"/>
    <s v="Travel_Frequently"/>
    <n v="1018"/>
    <x v="0"/>
    <n v="1"/>
    <n v="3"/>
    <s v="Marketing"/>
    <n v="1"/>
    <x v="960"/>
    <n v="3"/>
    <s v="Female"/>
    <n v="66"/>
    <n v="3"/>
    <n v="2"/>
    <x v="0"/>
    <x v="3"/>
    <s v="Divorced"/>
    <n v="4103"/>
    <n v="4297"/>
    <n v="0"/>
    <s v="Y"/>
    <x v="1"/>
    <n v="17"/>
    <n v="3"/>
    <n v="4"/>
    <n v="80"/>
    <n v="1"/>
    <n v="10"/>
    <n v="2"/>
    <x v="1"/>
    <n v="9"/>
    <n v="3"/>
    <n v="1"/>
    <n v="7"/>
    <x v="0"/>
    <x v="0"/>
  </r>
  <r>
    <n v="35"/>
    <x v="1"/>
    <s v="Travel_Frequently"/>
    <n v="482"/>
    <x v="1"/>
    <n v="4"/>
    <n v="4"/>
    <s v="Life Sciences"/>
    <n v="1"/>
    <x v="961"/>
    <n v="3"/>
    <s v="Male"/>
    <n v="87"/>
    <n v="3"/>
    <n v="2"/>
    <x v="1"/>
    <x v="2"/>
    <s v="Single"/>
    <n v="4249"/>
    <n v="2690"/>
    <n v="1"/>
    <s v="Y"/>
    <x v="0"/>
    <n v="11"/>
    <n v="3"/>
    <n v="2"/>
    <n v="80"/>
    <n v="0"/>
    <n v="9"/>
    <n v="3"/>
    <x v="1"/>
    <n v="9"/>
    <n v="6"/>
    <n v="1"/>
    <n v="1"/>
    <x v="1"/>
    <x v="0"/>
  </r>
  <r>
    <n v="51"/>
    <x v="1"/>
    <s v="Travel_Rarely"/>
    <n v="770"/>
    <x v="2"/>
    <n v="5"/>
    <n v="3"/>
    <s v="Life Sciences"/>
    <n v="1"/>
    <x v="962"/>
    <n v="3"/>
    <s v="Male"/>
    <n v="84"/>
    <n v="3"/>
    <n v="4"/>
    <x v="5"/>
    <x v="1"/>
    <s v="Divorced"/>
    <n v="14026"/>
    <n v="17588"/>
    <n v="1"/>
    <s v="Y"/>
    <x v="0"/>
    <n v="11"/>
    <n v="3"/>
    <n v="2"/>
    <n v="80"/>
    <n v="1"/>
    <n v="33"/>
    <n v="2"/>
    <x v="1"/>
    <n v="33"/>
    <n v="9"/>
    <n v="0"/>
    <n v="10"/>
    <x v="3"/>
    <x v="2"/>
  </r>
  <r>
    <n v="38"/>
    <x v="1"/>
    <s v="Travel_Rarely"/>
    <n v="1009"/>
    <x v="0"/>
    <n v="2"/>
    <n v="2"/>
    <s v="Life Sciences"/>
    <n v="1"/>
    <x v="963"/>
    <n v="2"/>
    <s v="Female"/>
    <n v="31"/>
    <n v="3"/>
    <n v="2"/>
    <x v="0"/>
    <x v="3"/>
    <s v="Divorced"/>
    <n v="6893"/>
    <n v="19461"/>
    <n v="3"/>
    <s v="Y"/>
    <x v="1"/>
    <n v="15"/>
    <n v="3"/>
    <n v="4"/>
    <n v="80"/>
    <n v="1"/>
    <n v="11"/>
    <n v="3"/>
    <x v="1"/>
    <n v="7"/>
    <n v="7"/>
    <n v="1"/>
    <n v="7"/>
    <x v="1"/>
    <x v="0"/>
  </r>
  <r>
    <n v="34"/>
    <x v="1"/>
    <s v="Travel_Rarely"/>
    <n v="507"/>
    <x v="0"/>
    <n v="15"/>
    <n v="2"/>
    <s v="Medical"/>
    <n v="1"/>
    <x v="964"/>
    <n v="3"/>
    <s v="Female"/>
    <n v="66"/>
    <n v="3"/>
    <n v="2"/>
    <x v="0"/>
    <x v="3"/>
    <s v="Single"/>
    <n v="6125"/>
    <n v="23553"/>
    <n v="1"/>
    <s v="Y"/>
    <x v="1"/>
    <n v="12"/>
    <n v="3"/>
    <n v="4"/>
    <n v="80"/>
    <n v="0"/>
    <n v="10"/>
    <n v="6"/>
    <x v="3"/>
    <n v="10"/>
    <n v="8"/>
    <n v="9"/>
    <n v="6"/>
    <x v="1"/>
    <x v="0"/>
  </r>
  <r>
    <n v="25"/>
    <x v="1"/>
    <s v="Travel_Rarely"/>
    <n v="882"/>
    <x v="1"/>
    <n v="19"/>
    <n v="1"/>
    <s v="Medical"/>
    <n v="1"/>
    <x v="965"/>
    <n v="4"/>
    <s v="Male"/>
    <n v="67"/>
    <n v="3"/>
    <n v="1"/>
    <x v="2"/>
    <x v="0"/>
    <s v="Married"/>
    <n v="3669"/>
    <n v="9075"/>
    <n v="3"/>
    <s v="Y"/>
    <x v="1"/>
    <n v="11"/>
    <n v="3"/>
    <n v="3"/>
    <n v="80"/>
    <n v="3"/>
    <n v="7"/>
    <n v="6"/>
    <x v="2"/>
    <n v="3"/>
    <n v="2"/>
    <n v="1"/>
    <n v="2"/>
    <x v="2"/>
    <x v="1"/>
  </r>
  <r>
    <n v="58"/>
    <x v="0"/>
    <s v="Travel_Rarely"/>
    <n v="601"/>
    <x v="1"/>
    <n v="7"/>
    <n v="4"/>
    <s v="Medical"/>
    <n v="1"/>
    <x v="966"/>
    <n v="3"/>
    <s v="Female"/>
    <n v="53"/>
    <n v="2"/>
    <n v="3"/>
    <x v="3"/>
    <x v="3"/>
    <s v="Married"/>
    <n v="10008"/>
    <n v="12023"/>
    <n v="7"/>
    <s v="Y"/>
    <x v="0"/>
    <n v="14"/>
    <n v="3"/>
    <n v="4"/>
    <n v="80"/>
    <n v="0"/>
    <n v="31"/>
    <n v="0"/>
    <x v="2"/>
    <n v="10"/>
    <n v="9"/>
    <n v="5"/>
    <n v="9"/>
    <x v="3"/>
    <x v="2"/>
  </r>
  <r>
    <n v="40"/>
    <x v="1"/>
    <s v="Travel_Rarely"/>
    <n v="329"/>
    <x v="1"/>
    <n v="1"/>
    <n v="4"/>
    <s v="Life Sciences"/>
    <n v="1"/>
    <x v="967"/>
    <n v="2"/>
    <s v="Male"/>
    <n v="88"/>
    <n v="3"/>
    <n v="1"/>
    <x v="2"/>
    <x v="1"/>
    <s v="Married"/>
    <n v="2387"/>
    <n v="6762"/>
    <n v="3"/>
    <s v="Y"/>
    <x v="1"/>
    <n v="22"/>
    <n v="4"/>
    <n v="3"/>
    <n v="80"/>
    <n v="1"/>
    <n v="7"/>
    <n v="3"/>
    <x v="1"/>
    <n v="4"/>
    <n v="2"/>
    <n v="0"/>
    <n v="3"/>
    <x v="1"/>
    <x v="1"/>
  </r>
  <r>
    <n v="36"/>
    <x v="1"/>
    <s v="Travel_Frequently"/>
    <n v="607"/>
    <x v="0"/>
    <n v="7"/>
    <n v="3"/>
    <s v="Marketing"/>
    <n v="1"/>
    <x v="968"/>
    <n v="1"/>
    <s v="Female"/>
    <n v="83"/>
    <n v="4"/>
    <n v="2"/>
    <x v="0"/>
    <x v="3"/>
    <s v="Married"/>
    <n v="4639"/>
    <n v="2261"/>
    <n v="2"/>
    <s v="Y"/>
    <x v="1"/>
    <n v="16"/>
    <n v="3"/>
    <n v="4"/>
    <n v="80"/>
    <n v="1"/>
    <n v="17"/>
    <n v="2"/>
    <x v="2"/>
    <n v="15"/>
    <n v="7"/>
    <n v="6"/>
    <n v="13"/>
    <x v="1"/>
    <x v="0"/>
  </r>
  <r>
    <n v="48"/>
    <x v="1"/>
    <s v="Travel_Rarely"/>
    <n v="855"/>
    <x v="1"/>
    <n v="4"/>
    <n v="3"/>
    <s v="Life Sciences"/>
    <n v="1"/>
    <x v="969"/>
    <n v="4"/>
    <s v="Male"/>
    <n v="54"/>
    <n v="3"/>
    <n v="3"/>
    <x v="3"/>
    <x v="0"/>
    <s v="Single"/>
    <n v="7898"/>
    <n v="18706"/>
    <n v="1"/>
    <s v="Y"/>
    <x v="1"/>
    <n v="11"/>
    <n v="3"/>
    <n v="3"/>
    <n v="80"/>
    <n v="0"/>
    <n v="11"/>
    <n v="2"/>
    <x v="1"/>
    <n v="10"/>
    <n v="9"/>
    <n v="0"/>
    <n v="8"/>
    <x v="0"/>
    <x v="2"/>
  </r>
  <r>
    <n v="27"/>
    <x v="1"/>
    <s v="Travel_Rarely"/>
    <n v="1291"/>
    <x v="0"/>
    <n v="11"/>
    <n v="3"/>
    <s v="Medical"/>
    <n v="1"/>
    <x v="970"/>
    <n v="3"/>
    <s v="Female"/>
    <n v="98"/>
    <n v="4"/>
    <n v="1"/>
    <x v="6"/>
    <x v="0"/>
    <s v="Married"/>
    <n v="2534"/>
    <n v="6527"/>
    <n v="8"/>
    <s v="Y"/>
    <x v="1"/>
    <n v="14"/>
    <n v="3"/>
    <n v="2"/>
    <n v="80"/>
    <n v="1"/>
    <n v="5"/>
    <n v="4"/>
    <x v="1"/>
    <n v="1"/>
    <n v="0"/>
    <n v="0"/>
    <n v="0"/>
    <x v="2"/>
    <x v="1"/>
  </r>
  <r>
    <n v="51"/>
    <x v="1"/>
    <s v="Travel_Rarely"/>
    <n v="1405"/>
    <x v="1"/>
    <n v="11"/>
    <n v="2"/>
    <s v="Technical Degree"/>
    <n v="1"/>
    <x v="971"/>
    <n v="4"/>
    <s v="Female"/>
    <n v="82"/>
    <n v="2"/>
    <n v="4"/>
    <x v="3"/>
    <x v="1"/>
    <s v="Single"/>
    <n v="13142"/>
    <n v="24439"/>
    <n v="3"/>
    <s v="Y"/>
    <x v="1"/>
    <n v="16"/>
    <n v="3"/>
    <n v="2"/>
    <n v="80"/>
    <n v="0"/>
    <n v="29"/>
    <n v="1"/>
    <x v="2"/>
    <n v="5"/>
    <n v="2"/>
    <n v="0"/>
    <n v="3"/>
    <x v="3"/>
    <x v="2"/>
  </r>
  <r>
    <n v="18"/>
    <x v="1"/>
    <s v="Non-Travel"/>
    <n v="1124"/>
    <x v="1"/>
    <n v="1"/>
    <n v="3"/>
    <s v="Life Sciences"/>
    <n v="1"/>
    <x v="972"/>
    <n v="4"/>
    <s v="Female"/>
    <n v="97"/>
    <n v="3"/>
    <n v="1"/>
    <x v="2"/>
    <x v="0"/>
    <s v="Single"/>
    <n v="1611"/>
    <n v="19305"/>
    <n v="1"/>
    <s v="Y"/>
    <x v="1"/>
    <n v="15"/>
    <n v="3"/>
    <n v="3"/>
    <n v="80"/>
    <n v="0"/>
    <n v="0"/>
    <n v="5"/>
    <x v="3"/>
    <n v="0"/>
    <n v="0"/>
    <n v="0"/>
    <n v="0"/>
    <x v="2"/>
    <x v="1"/>
  </r>
  <r>
    <n v="35"/>
    <x v="1"/>
    <s v="Travel_Rarely"/>
    <n v="817"/>
    <x v="1"/>
    <n v="1"/>
    <n v="3"/>
    <s v="Medical"/>
    <n v="1"/>
    <x v="973"/>
    <n v="4"/>
    <s v="Female"/>
    <n v="60"/>
    <n v="2"/>
    <n v="2"/>
    <x v="2"/>
    <x v="0"/>
    <s v="Married"/>
    <n v="5363"/>
    <n v="10846"/>
    <n v="0"/>
    <s v="Y"/>
    <x v="1"/>
    <n v="12"/>
    <n v="3"/>
    <n v="2"/>
    <n v="80"/>
    <n v="1"/>
    <n v="10"/>
    <n v="0"/>
    <x v="1"/>
    <n v="9"/>
    <n v="7"/>
    <n v="0"/>
    <n v="0"/>
    <x v="1"/>
    <x v="0"/>
  </r>
  <r>
    <n v="27"/>
    <x v="1"/>
    <s v="Travel_Frequently"/>
    <n v="793"/>
    <x v="0"/>
    <n v="2"/>
    <n v="1"/>
    <s v="Life Sciences"/>
    <n v="1"/>
    <x v="974"/>
    <n v="4"/>
    <s v="Male"/>
    <n v="43"/>
    <n v="1"/>
    <n v="2"/>
    <x v="0"/>
    <x v="0"/>
    <s v="Single"/>
    <n v="5071"/>
    <n v="20392"/>
    <n v="3"/>
    <s v="Y"/>
    <x v="1"/>
    <n v="20"/>
    <n v="4"/>
    <n v="2"/>
    <n v="80"/>
    <n v="0"/>
    <n v="8"/>
    <n v="3"/>
    <x v="1"/>
    <n v="6"/>
    <n v="2"/>
    <n v="0"/>
    <n v="0"/>
    <x v="2"/>
    <x v="0"/>
  </r>
  <r>
    <n v="55"/>
    <x v="0"/>
    <s v="Travel_Rarely"/>
    <n v="267"/>
    <x v="0"/>
    <n v="13"/>
    <n v="4"/>
    <s v="Marketing"/>
    <n v="1"/>
    <x v="975"/>
    <n v="1"/>
    <s v="Male"/>
    <n v="85"/>
    <n v="4"/>
    <n v="4"/>
    <x v="0"/>
    <x v="2"/>
    <s v="Single"/>
    <n v="13695"/>
    <n v="9277"/>
    <n v="6"/>
    <s v="Y"/>
    <x v="0"/>
    <n v="17"/>
    <n v="3"/>
    <n v="3"/>
    <n v="80"/>
    <n v="0"/>
    <n v="24"/>
    <n v="2"/>
    <x v="2"/>
    <n v="19"/>
    <n v="7"/>
    <n v="3"/>
    <n v="8"/>
    <x v="3"/>
    <x v="2"/>
  </r>
  <r>
    <n v="56"/>
    <x v="1"/>
    <s v="Travel_Rarely"/>
    <n v="1369"/>
    <x v="1"/>
    <n v="23"/>
    <n v="3"/>
    <s v="Life Sciences"/>
    <n v="1"/>
    <x v="976"/>
    <n v="4"/>
    <s v="Male"/>
    <n v="68"/>
    <n v="3"/>
    <n v="4"/>
    <x v="3"/>
    <x v="1"/>
    <s v="Married"/>
    <n v="13402"/>
    <n v="18235"/>
    <n v="4"/>
    <s v="Y"/>
    <x v="0"/>
    <n v="12"/>
    <n v="3"/>
    <n v="1"/>
    <n v="80"/>
    <n v="1"/>
    <n v="33"/>
    <n v="0"/>
    <x v="1"/>
    <n v="19"/>
    <n v="16"/>
    <n v="15"/>
    <n v="9"/>
    <x v="3"/>
    <x v="2"/>
  </r>
  <r>
    <n v="34"/>
    <x v="1"/>
    <s v="Non-Travel"/>
    <n v="999"/>
    <x v="1"/>
    <n v="26"/>
    <n v="1"/>
    <s v="Technical Degree"/>
    <n v="1"/>
    <x v="977"/>
    <n v="1"/>
    <s v="Female"/>
    <n v="92"/>
    <n v="2"/>
    <n v="1"/>
    <x v="1"/>
    <x v="2"/>
    <s v="Divorced"/>
    <n v="2029"/>
    <n v="15891"/>
    <n v="1"/>
    <s v="Y"/>
    <x v="1"/>
    <n v="20"/>
    <n v="4"/>
    <n v="3"/>
    <n v="80"/>
    <n v="3"/>
    <n v="5"/>
    <n v="2"/>
    <x v="1"/>
    <n v="5"/>
    <n v="4"/>
    <n v="0"/>
    <n v="0"/>
    <x v="1"/>
    <x v="1"/>
  </r>
  <r>
    <n v="40"/>
    <x v="1"/>
    <s v="Travel_Rarely"/>
    <n v="1202"/>
    <x v="1"/>
    <n v="2"/>
    <n v="1"/>
    <s v="Medical"/>
    <n v="1"/>
    <x v="978"/>
    <n v="2"/>
    <s v="Female"/>
    <n v="89"/>
    <n v="4"/>
    <n v="2"/>
    <x v="4"/>
    <x v="2"/>
    <s v="Divorced"/>
    <n v="6377"/>
    <n v="13888"/>
    <n v="5"/>
    <s v="Y"/>
    <x v="1"/>
    <n v="20"/>
    <n v="4"/>
    <n v="2"/>
    <n v="80"/>
    <n v="3"/>
    <n v="15"/>
    <n v="0"/>
    <x v="1"/>
    <n v="12"/>
    <n v="11"/>
    <n v="11"/>
    <n v="8"/>
    <x v="1"/>
    <x v="0"/>
  </r>
  <r>
    <n v="34"/>
    <x v="1"/>
    <s v="Travel_Rarely"/>
    <n v="285"/>
    <x v="1"/>
    <n v="29"/>
    <n v="3"/>
    <s v="Medical"/>
    <n v="1"/>
    <x v="979"/>
    <n v="2"/>
    <s v="Male"/>
    <n v="86"/>
    <n v="3"/>
    <n v="2"/>
    <x v="2"/>
    <x v="2"/>
    <s v="Married"/>
    <n v="5429"/>
    <n v="17491"/>
    <n v="4"/>
    <s v="Y"/>
    <x v="1"/>
    <n v="13"/>
    <n v="3"/>
    <n v="1"/>
    <n v="80"/>
    <n v="2"/>
    <n v="10"/>
    <n v="1"/>
    <x v="1"/>
    <n v="8"/>
    <n v="7"/>
    <n v="7"/>
    <n v="7"/>
    <x v="1"/>
    <x v="0"/>
  </r>
  <r>
    <n v="31"/>
    <x v="0"/>
    <s v="Travel_Frequently"/>
    <n v="703"/>
    <x v="0"/>
    <n v="2"/>
    <n v="3"/>
    <s v="Life Sciences"/>
    <n v="1"/>
    <x v="980"/>
    <n v="3"/>
    <s v="Female"/>
    <n v="90"/>
    <n v="2"/>
    <n v="1"/>
    <x v="6"/>
    <x v="0"/>
    <s v="Single"/>
    <n v="2785"/>
    <n v="11882"/>
    <n v="7"/>
    <s v="Y"/>
    <x v="1"/>
    <n v="14"/>
    <n v="3"/>
    <n v="3"/>
    <n v="80"/>
    <n v="0"/>
    <n v="3"/>
    <n v="3"/>
    <x v="3"/>
    <n v="1"/>
    <n v="0"/>
    <n v="0"/>
    <n v="0"/>
    <x v="1"/>
    <x v="1"/>
  </r>
  <r>
    <n v="35"/>
    <x v="0"/>
    <s v="Travel_Frequently"/>
    <n v="662"/>
    <x v="0"/>
    <n v="18"/>
    <n v="4"/>
    <s v="Marketing"/>
    <n v="1"/>
    <x v="981"/>
    <n v="4"/>
    <s v="Female"/>
    <n v="67"/>
    <n v="3"/>
    <n v="2"/>
    <x v="0"/>
    <x v="2"/>
    <s v="Married"/>
    <n v="4614"/>
    <n v="23288"/>
    <n v="0"/>
    <s v="Y"/>
    <x v="0"/>
    <n v="18"/>
    <n v="3"/>
    <n v="3"/>
    <n v="80"/>
    <n v="1"/>
    <n v="5"/>
    <n v="0"/>
    <x v="2"/>
    <n v="4"/>
    <n v="2"/>
    <n v="3"/>
    <n v="2"/>
    <x v="1"/>
    <x v="0"/>
  </r>
  <r>
    <n v="38"/>
    <x v="1"/>
    <s v="Travel_Frequently"/>
    <n v="693"/>
    <x v="1"/>
    <n v="7"/>
    <n v="3"/>
    <s v="Life Sciences"/>
    <n v="1"/>
    <x v="982"/>
    <n v="4"/>
    <s v="Male"/>
    <n v="57"/>
    <n v="4"/>
    <n v="1"/>
    <x v="1"/>
    <x v="2"/>
    <s v="Divorced"/>
    <n v="2610"/>
    <n v="15748"/>
    <n v="1"/>
    <s v="Y"/>
    <x v="1"/>
    <n v="11"/>
    <n v="3"/>
    <n v="4"/>
    <n v="80"/>
    <n v="3"/>
    <n v="4"/>
    <n v="2"/>
    <x v="1"/>
    <n v="4"/>
    <n v="2"/>
    <n v="0"/>
    <n v="3"/>
    <x v="1"/>
    <x v="1"/>
  </r>
  <r>
    <n v="34"/>
    <x v="1"/>
    <s v="Travel_Rarely"/>
    <n v="404"/>
    <x v="1"/>
    <n v="2"/>
    <n v="4"/>
    <s v="Technical Degree"/>
    <n v="1"/>
    <x v="983"/>
    <n v="3"/>
    <s v="Female"/>
    <n v="98"/>
    <n v="3"/>
    <n v="2"/>
    <x v="4"/>
    <x v="0"/>
    <s v="Single"/>
    <n v="6687"/>
    <n v="6163"/>
    <n v="1"/>
    <s v="Y"/>
    <x v="1"/>
    <n v="11"/>
    <n v="3"/>
    <n v="4"/>
    <n v="80"/>
    <n v="0"/>
    <n v="14"/>
    <n v="2"/>
    <x v="3"/>
    <n v="14"/>
    <n v="11"/>
    <n v="4"/>
    <n v="11"/>
    <x v="1"/>
    <x v="0"/>
  </r>
  <r>
    <n v="28"/>
    <x v="1"/>
    <s v="Travel_Rarely"/>
    <n v="736"/>
    <x v="0"/>
    <n v="26"/>
    <n v="3"/>
    <s v="Life Sciences"/>
    <n v="1"/>
    <x v="984"/>
    <n v="3"/>
    <s v="Male"/>
    <n v="48"/>
    <n v="2"/>
    <n v="2"/>
    <x v="0"/>
    <x v="3"/>
    <s v="Married"/>
    <n v="4724"/>
    <n v="24232"/>
    <n v="1"/>
    <s v="Y"/>
    <x v="1"/>
    <n v="11"/>
    <n v="3"/>
    <n v="3"/>
    <n v="80"/>
    <n v="1"/>
    <n v="5"/>
    <n v="0"/>
    <x v="1"/>
    <n v="5"/>
    <n v="3"/>
    <n v="0"/>
    <n v="4"/>
    <x v="2"/>
    <x v="0"/>
  </r>
  <r>
    <n v="31"/>
    <x v="0"/>
    <s v="Travel_Rarely"/>
    <n v="330"/>
    <x v="1"/>
    <n v="22"/>
    <n v="4"/>
    <s v="Medical"/>
    <n v="1"/>
    <x v="985"/>
    <n v="4"/>
    <s v="Male"/>
    <n v="98"/>
    <n v="3"/>
    <n v="2"/>
    <x v="3"/>
    <x v="2"/>
    <s v="Married"/>
    <n v="6179"/>
    <n v="21057"/>
    <n v="1"/>
    <s v="Y"/>
    <x v="0"/>
    <n v="15"/>
    <n v="3"/>
    <n v="4"/>
    <n v="80"/>
    <n v="2"/>
    <n v="10"/>
    <n v="3"/>
    <x v="2"/>
    <n v="10"/>
    <n v="2"/>
    <n v="6"/>
    <n v="7"/>
    <x v="1"/>
    <x v="0"/>
  </r>
  <r>
    <n v="39"/>
    <x v="1"/>
    <s v="Travel_Rarely"/>
    <n v="1498"/>
    <x v="0"/>
    <n v="21"/>
    <n v="4"/>
    <s v="Life Sciences"/>
    <n v="1"/>
    <x v="986"/>
    <n v="1"/>
    <s v="Male"/>
    <n v="44"/>
    <n v="2"/>
    <n v="2"/>
    <x v="0"/>
    <x v="0"/>
    <s v="Married"/>
    <n v="6120"/>
    <n v="3567"/>
    <n v="3"/>
    <s v="Y"/>
    <x v="0"/>
    <n v="12"/>
    <n v="3"/>
    <n v="4"/>
    <n v="80"/>
    <n v="2"/>
    <n v="8"/>
    <n v="2"/>
    <x v="3"/>
    <n v="5"/>
    <n v="4"/>
    <n v="1"/>
    <n v="4"/>
    <x v="1"/>
    <x v="0"/>
  </r>
  <r>
    <n v="51"/>
    <x v="1"/>
    <s v="Travel_Frequently"/>
    <n v="541"/>
    <x v="0"/>
    <n v="2"/>
    <n v="3"/>
    <s v="Marketing"/>
    <n v="1"/>
    <x v="987"/>
    <n v="2"/>
    <s v="Male"/>
    <n v="52"/>
    <n v="3"/>
    <n v="3"/>
    <x v="0"/>
    <x v="1"/>
    <s v="Married"/>
    <n v="10596"/>
    <n v="15395"/>
    <n v="2"/>
    <s v="Y"/>
    <x v="1"/>
    <n v="11"/>
    <n v="3"/>
    <n v="2"/>
    <n v="80"/>
    <n v="0"/>
    <n v="14"/>
    <n v="5"/>
    <x v="1"/>
    <n v="4"/>
    <n v="2"/>
    <n v="3"/>
    <n v="2"/>
    <x v="3"/>
    <x v="2"/>
  </r>
  <r>
    <n v="41"/>
    <x v="1"/>
    <s v="Travel_Frequently"/>
    <n v="1200"/>
    <x v="1"/>
    <n v="22"/>
    <n v="3"/>
    <s v="Life Sciences"/>
    <n v="1"/>
    <x v="988"/>
    <n v="4"/>
    <s v="Female"/>
    <n v="75"/>
    <n v="3"/>
    <n v="2"/>
    <x v="1"/>
    <x v="0"/>
    <s v="Divorced"/>
    <n v="5467"/>
    <n v="13953"/>
    <n v="3"/>
    <s v="Y"/>
    <x v="0"/>
    <n v="14"/>
    <n v="3"/>
    <n v="1"/>
    <n v="80"/>
    <n v="2"/>
    <n v="12"/>
    <n v="4"/>
    <x v="2"/>
    <n v="6"/>
    <n v="2"/>
    <n v="3"/>
    <n v="3"/>
    <x v="0"/>
    <x v="0"/>
  </r>
  <r>
    <n v="37"/>
    <x v="1"/>
    <s v="Travel_Rarely"/>
    <n v="1439"/>
    <x v="1"/>
    <n v="4"/>
    <n v="1"/>
    <s v="Life Sciences"/>
    <n v="1"/>
    <x v="989"/>
    <n v="3"/>
    <s v="Male"/>
    <n v="54"/>
    <n v="3"/>
    <n v="1"/>
    <x v="1"/>
    <x v="2"/>
    <s v="Married"/>
    <n v="2996"/>
    <n v="5182"/>
    <n v="7"/>
    <s v="Y"/>
    <x v="0"/>
    <n v="15"/>
    <n v="3"/>
    <n v="4"/>
    <n v="80"/>
    <n v="0"/>
    <n v="8"/>
    <n v="2"/>
    <x v="1"/>
    <n v="6"/>
    <n v="4"/>
    <n v="1"/>
    <n v="3"/>
    <x v="1"/>
    <x v="1"/>
  </r>
  <r>
    <n v="33"/>
    <x v="1"/>
    <s v="Travel_Frequently"/>
    <n v="1111"/>
    <x v="0"/>
    <n v="5"/>
    <n v="1"/>
    <s v="Life Sciences"/>
    <n v="1"/>
    <x v="990"/>
    <n v="2"/>
    <s v="Male"/>
    <n v="61"/>
    <n v="3"/>
    <n v="2"/>
    <x v="0"/>
    <x v="0"/>
    <s v="Married"/>
    <n v="9998"/>
    <n v="19293"/>
    <n v="6"/>
    <s v="Y"/>
    <x v="1"/>
    <n v="13"/>
    <n v="3"/>
    <n v="1"/>
    <n v="80"/>
    <n v="0"/>
    <n v="8"/>
    <n v="2"/>
    <x v="3"/>
    <n v="5"/>
    <n v="4"/>
    <n v="1"/>
    <n v="2"/>
    <x v="1"/>
    <x v="2"/>
  </r>
  <r>
    <n v="32"/>
    <x v="1"/>
    <s v="Travel_Rarely"/>
    <n v="499"/>
    <x v="0"/>
    <n v="2"/>
    <n v="1"/>
    <s v="Marketing"/>
    <n v="1"/>
    <x v="991"/>
    <n v="3"/>
    <s v="Male"/>
    <n v="36"/>
    <n v="3"/>
    <n v="2"/>
    <x v="0"/>
    <x v="1"/>
    <s v="Married"/>
    <n v="4078"/>
    <n v="20497"/>
    <n v="0"/>
    <s v="Y"/>
    <x v="0"/>
    <n v="13"/>
    <n v="3"/>
    <n v="1"/>
    <n v="80"/>
    <n v="3"/>
    <n v="4"/>
    <n v="3"/>
    <x v="2"/>
    <n v="3"/>
    <n v="2"/>
    <n v="1"/>
    <n v="2"/>
    <x v="1"/>
    <x v="0"/>
  </r>
  <r>
    <n v="39"/>
    <x v="1"/>
    <s v="Non-Travel"/>
    <n v="1485"/>
    <x v="1"/>
    <n v="25"/>
    <n v="2"/>
    <s v="Life Sciences"/>
    <n v="1"/>
    <x v="992"/>
    <n v="3"/>
    <s v="Male"/>
    <n v="71"/>
    <n v="3"/>
    <n v="3"/>
    <x v="4"/>
    <x v="2"/>
    <s v="Married"/>
    <n v="10920"/>
    <n v="3449"/>
    <n v="3"/>
    <s v="Y"/>
    <x v="1"/>
    <n v="21"/>
    <n v="4"/>
    <n v="2"/>
    <n v="80"/>
    <n v="1"/>
    <n v="13"/>
    <n v="2"/>
    <x v="1"/>
    <n v="6"/>
    <n v="4"/>
    <n v="0"/>
    <n v="5"/>
    <x v="1"/>
    <x v="2"/>
  </r>
  <r>
    <n v="25"/>
    <x v="1"/>
    <s v="Travel_Rarely"/>
    <n v="1372"/>
    <x v="0"/>
    <n v="18"/>
    <n v="1"/>
    <s v="Life Sciences"/>
    <n v="1"/>
    <x v="993"/>
    <n v="1"/>
    <s v="Male"/>
    <n v="93"/>
    <n v="4"/>
    <n v="2"/>
    <x v="0"/>
    <x v="2"/>
    <s v="Married"/>
    <n v="6232"/>
    <n v="12477"/>
    <n v="2"/>
    <s v="Y"/>
    <x v="1"/>
    <n v="11"/>
    <n v="3"/>
    <n v="2"/>
    <n v="80"/>
    <n v="0"/>
    <n v="6"/>
    <n v="3"/>
    <x v="2"/>
    <n v="3"/>
    <n v="2"/>
    <n v="1"/>
    <n v="2"/>
    <x v="2"/>
    <x v="0"/>
  </r>
  <r>
    <n v="52"/>
    <x v="1"/>
    <s v="Travel_Frequently"/>
    <n v="322"/>
    <x v="1"/>
    <n v="28"/>
    <n v="2"/>
    <s v="Medical"/>
    <n v="1"/>
    <x v="994"/>
    <n v="4"/>
    <s v="Female"/>
    <n v="59"/>
    <n v="4"/>
    <n v="4"/>
    <x v="3"/>
    <x v="2"/>
    <s v="Married"/>
    <n v="13247"/>
    <n v="9731"/>
    <n v="2"/>
    <s v="Y"/>
    <x v="0"/>
    <n v="11"/>
    <n v="3"/>
    <n v="2"/>
    <n v="80"/>
    <n v="1"/>
    <n v="24"/>
    <n v="3"/>
    <x v="2"/>
    <n v="5"/>
    <n v="3"/>
    <n v="0"/>
    <n v="2"/>
    <x v="3"/>
    <x v="2"/>
  </r>
  <r>
    <n v="43"/>
    <x v="1"/>
    <s v="Travel_Rarely"/>
    <n v="930"/>
    <x v="1"/>
    <n v="6"/>
    <n v="3"/>
    <s v="Medical"/>
    <n v="1"/>
    <x v="995"/>
    <n v="1"/>
    <s v="Female"/>
    <n v="73"/>
    <n v="2"/>
    <n v="2"/>
    <x v="1"/>
    <x v="2"/>
    <s v="Single"/>
    <n v="4081"/>
    <n v="20003"/>
    <n v="1"/>
    <s v="Y"/>
    <x v="0"/>
    <n v="14"/>
    <n v="3"/>
    <n v="1"/>
    <n v="80"/>
    <n v="0"/>
    <n v="20"/>
    <n v="3"/>
    <x v="0"/>
    <n v="20"/>
    <n v="7"/>
    <n v="1"/>
    <n v="8"/>
    <x v="0"/>
    <x v="0"/>
  </r>
  <r>
    <n v="27"/>
    <x v="1"/>
    <s v="Travel_Rarely"/>
    <n v="205"/>
    <x v="0"/>
    <n v="10"/>
    <n v="3"/>
    <s v="Marketing"/>
    <n v="1"/>
    <x v="996"/>
    <n v="4"/>
    <s v="Female"/>
    <n v="98"/>
    <n v="2"/>
    <n v="2"/>
    <x v="0"/>
    <x v="0"/>
    <s v="Married"/>
    <n v="5769"/>
    <n v="7100"/>
    <n v="1"/>
    <s v="Y"/>
    <x v="0"/>
    <n v="11"/>
    <n v="3"/>
    <n v="4"/>
    <n v="80"/>
    <n v="0"/>
    <n v="6"/>
    <n v="3"/>
    <x v="1"/>
    <n v="6"/>
    <n v="2"/>
    <n v="4"/>
    <n v="4"/>
    <x v="2"/>
    <x v="0"/>
  </r>
  <r>
    <n v="27"/>
    <x v="0"/>
    <s v="Travel_Rarely"/>
    <n v="135"/>
    <x v="1"/>
    <n v="17"/>
    <n v="4"/>
    <s v="Life Sciences"/>
    <n v="1"/>
    <x v="997"/>
    <n v="4"/>
    <s v="Female"/>
    <n v="51"/>
    <n v="3"/>
    <n v="1"/>
    <x v="1"/>
    <x v="2"/>
    <s v="Single"/>
    <n v="2394"/>
    <n v="25681"/>
    <n v="1"/>
    <s v="Y"/>
    <x v="0"/>
    <n v="13"/>
    <n v="3"/>
    <n v="4"/>
    <n v="80"/>
    <n v="0"/>
    <n v="8"/>
    <n v="2"/>
    <x v="1"/>
    <n v="8"/>
    <n v="2"/>
    <n v="7"/>
    <n v="7"/>
    <x v="2"/>
    <x v="1"/>
  </r>
  <r>
    <n v="26"/>
    <x v="1"/>
    <s v="Travel_Rarely"/>
    <n v="683"/>
    <x v="1"/>
    <n v="2"/>
    <n v="1"/>
    <s v="Medical"/>
    <n v="1"/>
    <x v="998"/>
    <n v="1"/>
    <s v="Male"/>
    <n v="36"/>
    <n v="2"/>
    <n v="1"/>
    <x v="1"/>
    <x v="0"/>
    <s v="Single"/>
    <n v="3904"/>
    <n v="4050"/>
    <n v="0"/>
    <s v="Y"/>
    <x v="1"/>
    <n v="12"/>
    <n v="3"/>
    <n v="4"/>
    <n v="80"/>
    <n v="0"/>
    <n v="5"/>
    <n v="2"/>
    <x v="1"/>
    <n v="4"/>
    <n v="3"/>
    <n v="1"/>
    <n v="1"/>
    <x v="2"/>
    <x v="1"/>
  </r>
  <r>
    <n v="42"/>
    <x v="1"/>
    <s v="Travel_Rarely"/>
    <n v="1147"/>
    <x v="2"/>
    <n v="10"/>
    <n v="3"/>
    <s v="Human Resources"/>
    <n v="1"/>
    <x v="999"/>
    <n v="3"/>
    <s v="Female"/>
    <n v="31"/>
    <n v="3"/>
    <n v="4"/>
    <x v="5"/>
    <x v="3"/>
    <s v="Married"/>
    <n v="16799"/>
    <n v="16616"/>
    <n v="0"/>
    <s v="Y"/>
    <x v="1"/>
    <n v="14"/>
    <n v="3"/>
    <n v="3"/>
    <n v="80"/>
    <n v="1"/>
    <n v="21"/>
    <n v="5"/>
    <x v="1"/>
    <n v="20"/>
    <n v="7"/>
    <n v="0"/>
    <n v="9"/>
    <x v="0"/>
    <x v="2"/>
  </r>
  <r>
    <n v="52"/>
    <x v="1"/>
    <s v="Travel_Rarely"/>
    <n v="258"/>
    <x v="1"/>
    <n v="8"/>
    <n v="4"/>
    <s v="Other"/>
    <n v="1"/>
    <x v="1000"/>
    <n v="3"/>
    <s v="Female"/>
    <n v="54"/>
    <n v="3"/>
    <n v="1"/>
    <x v="2"/>
    <x v="3"/>
    <s v="Married"/>
    <n v="2950"/>
    <n v="17363"/>
    <n v="9"/>
    <s v="Y"/>
    <x v="1"/>
    <n v="13"/>
    <n v="3"/>
    <n v="3"/>
    <n v="80"/>
    <n v="0"/>
    <n v="12"/>
    <n v="2"/>
    <x v="0"/>
    <n v="5"/>
    <n v="4"/>
    <n v="0"/>
    <n v="4"/>
    <x v="3"/>
    <x v="1"/>
  </r>
  <r>
    <n v="37"/>
    <x v="1"/>
    <s v="Travel_Rarely"/>
    <n v="1462"/>
    <x v="1"/>
    <n v="11"/>
    <n v="3"/>
    <s v="Medical"/>
    <n v="1"/>
    <x v="1001"/>
    <n v="1"/>
    <s v="Female"/>
    <n v="94"/>
    <n v="3"/>
    <n v="1"/>
    <x v="2"/>
    <x v="2"/>
    <s v="Single"/>
    <n v="3629"/>
    <n v="19106"/>
    <n v="4"/>
    <s v="Y"/>
    <x v="1"/>
    <n v="18"/>
    <n v="3"/>
    <n v="1"/>
    <n v="80"/>
    <n v="0"/>
    <n v="8"/>
    <n v="6"/>
    <x v="1"/>
    <n v="3"/>
    <n v="2"/>
    <n v="0"/>
    <n v="2"/>
    <x v="1"/>
    <x v="1"/>
  </r>
  <r>
    <n v="35"/>
    <x v="1"/>
    <s v="Travel_Frequently"/>
    <n v="200"/>
    <x v="1"/>
    <n v="18"/>
    <n v="2"/>
    <s v="Life Sciences"/>
    <n v="1"/>
    <x v="1002"/>
    <n v="3"/>
    <s v="Male"/>
    <n v="60"/>
    <n v="3"/>
    <n v="3"/>
    <x v="3"/>
    <x v="0"/>
    <s v="Single"/>
    <n v="9362"/>
    <n v="19944"/>
    <n v="2"/>
    <s v="Y"/>
    <x v="1"/>
    <n v="11"/>
    <n v="3"/>
    <n v="3"/>
    <n v="80"/>
    <n v="0"/>
    <n v="10"/>
    <n v="2"/>
    <x v="1"/>
    <n v="2"/>
    <n v="2"/>
    <n v="2"/>
    <n v="2"/>
    <x v="1"/>
    <x v="2"/>
  </r>
  <r>
    <n v="25"/>
    <x v="1"/>
    <s v="Travel_Rarely"/>
    <n v="949"/>
    <x v="1"/>
    <n v="1"/>
    <n v="3"/>
    <s v="Technical Degree"/>
    <n v="1"/>
    <x v="1003"/>
    <n v="1"/>
    <s v="Male"/>
    <n v="81"/>
    <n v="3"/>
    <n v="1"/>
    <x v="2"/>
    <x v="0"/>
    <s v="Married"/>
    <n v="3229"/>
    <n v="4910"/>
    <n v="4"/>
    <s v="Y"/>
    <x v="1"/>
    <n v="11"/>
    <n v="3"/>
    <n v="2"/>
    <n v="80"/>
    <n v="1"/>
    <n v="7"/>
    <n v="2"/>
    <x v="2"/>
    <n v="3"/>
    <n v="2"/>
    <n v="0"/>
    <n v="2"/>
    <x v="2"/>
    <x v="1"/>
  </r>
  <r>
    <n v="26"/>
    <x v="1"/>
    <s v="Travel_Rarely"/>
    <n v="652"/>
    <x v="1"/>
    <n v="7"/>
    <n v="3"/>
    <s v="Other"/>
    <n v="1"/>
    <x v="1004"/>
    <n v="3"/>
    <s v="Male"/>
    <n v="100"/>
    <n v="4"/>
    <n v="1"/>
    <x v="2"/>
    <x v="3"/>
    <s v="Single"/>
    <n v="3578"/>
    <n v="23577"/>
    <n v="0"/>
    <s v="Y"/>
    <x v="1"/>
    <n v="12"/>
    <n v="3"/>
    <n v="4"/>
    <n v="80"/>
    <n v="0"/>
    <n v="8"/>
    <n v="2"/>
    <x v="1"/>
    <n v="7"/>
    <n v="7"/>
    <n v="0"/>
    <n v="7"/>
    <x v="2"/>
    <x v="1"/>
  </r>
  <r>
    <n v="29"/>
    <x v="1"/>
    <s v="Travel_Rarely"/>
    <n v="332"/>
    <x v="2"/>
    <n v="17"/>
    <n v="3"/>
    <s v="Other"/>
    <n v="1"/>
    <x v="1005"/>
    <n v="2"/>
    <s v="Male"/>
    <n v="51"/>
    <n v="2"/>
    <n v="3"/>
    <x v="8"/>
    <x v="3"/>
    <s v="Single"/>
    <n v="7988"/>
    <n v="9769"/>
    <n v="1"/>
    <s v="Y"/>
    <x v="1"/>
    <n v="13"/>
    <n v="3"/>
    <n v="1"/>
    <n v="80"/>
    <n v="0"/>
    <n v="10"/>
    <n v="3"/>
    <x v="2"/>
    <n v="10"/>
    <n v="9"/>
    <n v="0"/>
    <n v="9"/>
    <x v="2"/>
    <x v="2"/>
  </r>
  <r>
    <n v="49"/>
    <x v="0"/>
    <s v="Travel_Frequently"/>
    <n v="1475"/>
    <x v="1"/>
    <n v="28"/>
    <n v="2"/>
    <s v="Life Sciences"/>
    <n v="1"/>
    <x v="1006"/>
    <n v="1"/>
    <s v="Male"/>
    <n v="97"/>
    <n v="2"/>
    <n v="2"/>
    <x v="2"/>
    <x v="3"/>
    <s v="Single"/>
    <n v="4284"/>
    <n v="22710"/>
    <n v="3"/>
    <s v="Y"/>
    <x v="1"/>
    <n v="20"/>
    <n v="4"/>
    <n v="1"/>
    <n v="80"/>
    <n v="0"/>
    <n v="20"/>
    <n v="2"/>
    <x v="1"/>
    <n v="4"/>
    <n v="3"/>
    <n v="1"/>
    <n v="3"/>
    <x v="0"/>
    <x v="0"/>
  </r>
  <r>
    <n v="29"/>
    <x v="0"/>
    <s v="Travel_Frequently"/>
    <n v="337"/>
    <x v="1"/>
    <n v="14"/>
    <n v="1"/>
    <s v="Other"/>
    <n v="1"/>
    <x v="1007"/>
    <n v="3"/>
    <s v="Female"/>
    <n v="84"/>
    <n v="3"/>
    <n v="3"/>
    <x v="4"/>
    <x v="0"/>
    <s v="Single"/>
    <n v="7553"/>
    <n v="22930"/>
    <n v="0"/>
    <s v="Y"/>
    <x v="0"/>
    <n v="12"/>
    <n v="3"/>
    <n v="1"/>
    <n v="80"/>
    <n v="0"/>
    <n v="9"/>
    <n v="1"/>
    <x v="1"/>
    <n v="8"/>
    <n v="7"/>
    <n v="7"/>
    <n v="7"/>
    <x v="2"/>
    <x v="2"/>
  </r>
  <r>
    <n v="54"/>
    <x v="1"/>
    <s v="Travel_Rarely"/>
    <n v="971"/>
    <x v="1"/>
    <n v="1"/>
    <n v="3"/>
    <s v="Medical"/>
    <n v="1"/>
    <x v="1008"/>
    <n v="4"/>
    <s v="Female"/>
    <n v="54"/>
    <n v="3"/>
    <n v="4"/>
    <x v="7"/>
    <x v="0"/>
    <s v="Single"/>
    <n v="17328"/>
    <n v="5652"/>
    <n v="6"/>
    <s v="Y"/>
    <x v="1"/>
    <n v="19"/>
    <n v="3"/>
    <n v="4"/>
    <n v="80"/>
    <n v="0"/>
    <n v="29"/>
    <n v="3"/>
    <x v="2"/>
    <n v="20"/>
    <n v="7"/>
    <n v="12"/>
    <n v="7"/>
    <x v="3"/>
    <x v="2"/>
  </r>
  <r>
    <n v="58"/>
    <x v="1"/>
    <s v="Travel_Rarely"/>
    <n v="1055"/>
    <x v="1"/>
    <n v="1"/>
    <n v="3"/>
    <s v="Medical"/>
    <n v="1"/>
    <x v="1009"/>
    <n v="4"/>
    <s v="Female"/>
    <n v="76"/>
    <n v="3"/>
    <n v="5"/>
    <x v="7"/>
    <x v="3"/>
    <s v="Married"/>
    <n v="19701"/>
    <n v="22456"/>
    <n v="3"/>
    <s v="Y"/>
    <x v="0"/>
    <n v="21"/>
    <n v="4"/>
    <n v="3"/>
    <n v="80"/>
    <n v="1"/>
    <n v="32"/>
    <n v="3"/>
    <x v="1"/>
    <n v="9"/>
    <n v="8"/>
    <n v="1"/>
    <n v="5"/>
    <x v="3"/>
    <x v="2"/>
  </r>
  <r>
    <n v="55"/>
    <x v="1"/>
    <s v="Travel_Rarely"/>
    <n v="1136"/>
    <x v="1"/>
    <n v="1"/>
    <n v="4"/>
    <s v="Medical"/>
    <n v="1"/>
    <x v="1010"/>
    <n v="2"/>
    <s v="Male"/>
    <n v="81"/>
    <n v="4"/>
    <n v="4"/>
    <x v="7"/>
    <x v="0"/>
    <s v="Divorced"/>
    <n v="14732"/>
    <n v="12414"/>
    <n v="2"/>
    <s v="Y"/>
    <x v="1"/>
    <n v="13"/>
    <n v="3"/>
    <n v="4"/>
    <n v="80"/>
    <n v="2"/>
    <n v="31"/>
    <n v="4"/>
    <x v="3"/>
    <n v="7"/>
    <n v="7"/>
    <n v="0"/>
    <n v="0"/>
    <x v="3"/>
    <x v="2"/>
  </r>
  <r>
    <n v="36"/>
    <x v="1"/>
    <s v="Travel_Rarely"/>
    <n v="1174"/>
    <x v="0"/>
    <n v="3"/>
    <n v="4"/>
    <s v="Marketing"/>
    <n v="1"/>
    <x v="1011"/>
    <n v="1"/>
    <s v="Female"/>
    <n v="99"/>
    <n v="3"/>
    <n v="2"/>
    <x v="0"/>
    <x v="1"/>
    <s v="Single"/>
    <n v="9278"/>
    <n v="20763"/>
    <n v="3"/>
    <s v="Y"/>
    <x v="0"/>
    <n v="16"/>
    <n v="3"/>
    <n v="4"/>
    <n v="80"/>
    <n v="0"/>
    <n v="15"/>
    <n v="3"/>
    <x v="1"/>
    <n v="5"/>
    <n v="4"/>
    <n v="0"/>
    <n v="1"/>
    <x v="1"/>
    <x v="2"/>
  </r>
  <r>
    <n v="31"/>
    <x v="0"/>
    <s v="Travel_Frequently"/>
    <n v="667"/>
    <x v="0"/>
    <n v="1"/>
    <n v="4"/>
    <s v="Life Sciences"/>
    <n v="1"/>
    <x v="1012"/>
    <n v="2"/>
    <s v="Female"/>
    <n v="50"/>
    <n v="1"/>
    <n v="1"/>
    <x v="6"/>
    <x v="2"/>
    <s v="Single"/>
    <n v="1359"/>
    <n v="16154"/>
    <n v="1"/>
    <s v="Y"/>
    <x v="1"/>
    <n v="12"/>
    <n v="3"/>
    <n v="2"/>
    <n v="80"/>
    <n v="0"/>
    <n v="1"/>
    <n v="3"/>
    <x v="1"/>
    <n v="1"/>
    <n v="0"/>
    <n v="0"/>
    <n v="0"/>
    <x v="1"/>
    <x v="1"/>
  </r>
  <r>
    <n v="30"/>
    <x v="1"/>
    <s v="Travel_Rarely"/>
    <n v="855"/>
    <x v="0"/>
    <n v="7"/>
    <n v="4"/>
    <s v="Marketing"/>
    <n v="1"/>
    <x v="1013"/>
    <n v="4"/>
    <s v="Female"/>
    <n v="73"/>
    <n v="3"/>
    <n v="2"/>
    <x v="0"/>
    <x v="3"/>
    <s v="Divorced"/>
    <n v="4779"/>
    <n v="12761"/>
    <n v="7"/>
    <s v="Y"/>
    <x v="1"/>
    <n v="14"/>
    <n v="3"/>
    <n v="2"/>
    <n v="80"/>
    <n v="2"/>
    <n v="8"/>
    <n v="3"/>
    <x v="1"/>
    <n v="3"/>
    <n v="2"/>
    <n v="0"/>
    <n v="2"/>
    <x v="1"/>
    <x v="0"/>
  </r>
  <r>
    <n v="31"/>
    <x v="1"/>
    <s v="Travel_Rarely"/>
    <n v="182"/>
    <x v="1"/>
    <n v="8"/>
    <n v="5"/>
    <s v="Life Sciences"/>
    <n v="1"/>
    <x v="1014"/>
    <n v="1"/>
    <s v="Female"/>
    <n v="93"/>
    <n v="3"/>
    <n v="4"/>
    <x v="7"/>
    <x v="1"/>
    <s v="Single"/>
    <n v="16422"/>
    <n v="8847"/>
    <n v="3"/>
    <s v="Y"/>
    <x v="1"/>
    <n v="11"/>
    <n v="3"/>
    <n v="3"/>
    <n v="80"/>
    <n v="0"/>
    <n v="9"/>
    <n v="3"/>
    <x v="3"/>
    <n v="3"/>
    <n v="2"/>
    <n v="1"/>
    <n v="0"/>
    <x v="1"/>
    <x v="2"/>
  </r>
  <r>
    <n v="34"/>
    <x v="1"/>
    <s v="Travel_Frequently"/>
    <n v="560"/>
    <x v="1"/>
    <n v="1"/>
    <n v="4"/>
    <s v="Other"/>
    <n v="1"/>
    <x v="1015"/>
    <n v="4"/>
    <s v="Male"/>
    <n v="91"/>
    <n v="3"/>
    <n v="1"/>
    <x v="1"/>
    <x v="3"/>
    <s v="Divorced"/>
    <n v="2996"/>
    <n v="20284"/>
    <n v="5"/>
    <s v="Y"/>
    <x v="1"/>
    <n v="14"/>
    <n v="3"/>
    <n v="3"/>
    <n v="80"/>
    <n v="2"/>
    <n v="10"/>
    <n v="2"/>
    <x v="1"/>
    <n v="4"/>
    <n v="3"/>
    <n v="1"/>
    <n v="3"/>
    <x v="1"/>
    <x v="1"/>
  </r>
  <r>
    <n v="31"/>
    <x v="0"/>
    <s v="Travel_Rarely"/>
    <n v="202"/>
    <x v="1"/>
    <n v="8"/>
    <n v="3"/>
    <s v="Life Sciences"/>
    <n v="1"/>
    <x v="1016"/>
    <n v="1"/>
    <s v="Female"/>
    <n v="34"/>
    <n v="2"/>
    <n v="1"/>
    <x v="1"/>
    <x v="1"/>
    <s v="Single"/>
    <n v="1261"/>
    <n v="22262"/>
    <n v="1"/>
    <s v="Y"/>
    <x v="1"/>
    <n v="12"/>
    <n v="3"/>
    <n v="3"/>
    <n v="80"/>
    <n v="0"/>
    <n v="1"/>
    <n v="3"/>
    <x v="3"/>
    <n v="1"/>
    <n v="0"/>
    <n v="0"/>
    <n v="0"/>
    <x v="1"/>
    <x v="1"/>
  </r>
  <r>
    <n v="27"/>
    <x v="1"/>
    <s v="Travel_Rarely"/>
    <n v="1377"/>
    <x v="1"/>
    <n v="11"/>
    <n v="1"/>
    <s v="Life Sciences"/>
    <n v="1"/>
    <x v="1017"/>
    <n v="2"/>
    <s v="Male"/>
    <n v="91"/>
    <n v="3"/>
    <n v="1"/>
    <x v="2"/>
    <x v="3"/>
    <s v="Married"/>
    <n v="2099"/>
    <n v="7679"/>
    <n v="0"/>
    <s v="Y"/>
    <x v="1"/>
    <n v="14"/>
    <n v="3"/>
    <n v="2"/>
    <n v="80"/>
    <n v="0"/>
    <n v="6"/>
    <n v="3"/>
    <x v="3"/>
    <n v="5"/>
    <n v="0"/>
    <n v="1"/>
    <n v="4"/>
    <x v="2"/>
    <x v="1"/>
  </r>
  <r>
    <n v="36"/>
    <x v="1"/>
    <s v="Travel_Rarely"/>
    <n v="172"/>
    <x v="1"/>
    <n v="4"/>
    <n v="4"/>
    <s v="Life Sciences"/>
    <n v="1"/>
    <x v="1018"/>
    <n v="1"/>
    <s v="Male"/>
    <n v="37"/>
    <n v="2"/>
    <n v="2"/>
    <x v="2"/>
    <x v="0"/>
    <s v="Single"/>
    <n v="5810"/>
    <n v="22604"/>
    <n v="1"/>
    <s v="Y"/>
    <x v="1"/>
    <n v="16"/>
    <n v="3"/>
    <n v="3"/>
    <n v="80"/>
    <n v="0"/>
    <n v="10"/>
    <n v="2"/>
    <x v="2"/>
    <n v="10"/>
    <n v="4"/>
    <n v="1"/>
    <n v="8"/>
    <x v="1"/>
    <x v="0"/>
  </r>
  <r>
    <n v="36"/>
    <x v="1"/>
    <s v="Travel_Rarely"/>
    <n v="329"/>
    <x v="0"/>
    <n v="16"/>
    <n v="4"/>
    <s v="Marketing"/>
    <n v="1"/>
    <x v="1019"/>
    <n v="3"/>
    <s v="Female"/>
    <n v="98"/>
    <n v="2"/>
    <n v="2"/>
    <x v="0"/>
    <x v="3"/>
    <s v="Married"/>
    <n v="5647"/>
    <n v="13494"/>
    <n v="4"/>
    <s v="Y"/>
    <x v="1"/>
    <n v="13"/>
    <n v="3"/>
    <n v="1"/>
    <n v="80"/>
    <n v="2"/>
    <n v="11"/>
    <n v="3"/>
    <x v="2"/>
    <n v="3"/>
    <n v="2"/>
    <n v="0"/>
    <n v="2"/>
    <x v="1"/>
    <x v="0"/>
  </r>
  <r>
    <n v="47"/>
    <x v="1"/>
    <s v="Travel_Rarely"/>
    <n v="465"/>
    <x v="1"/>
    <n v="1"/>
    <n v="3"/>
    <s v="Technical Degree"/>
    <n v="1"/>
    <x v="1020"/>
    <n v="1"/>
    <s v="Male"/>
    <n v="74"/>
    <n v="3"/>
    <n v="1"/>
    <x v="1"/>
    <x v="0"/>
    <s v="Married"/>
    <n v="3420"/>
    <n v="10205"/>
    <n v="7"/>
    <s v="Y"/>
    <x v="1"/>
    <n v="12"/>
    <n v="3"/>
    <n v="3"/>
    <n v="80"/>
    <n v="1"/>
    <n v="17"/>
    <n v="2"/>
    <x v="2"/>
    <n v="6"/>
    <n v="5"/>
    <n v="1"/>
    <n v="2"/>
    <x v="0"/>
    <x v="1"/>
  </r>
  <r>
    <n v="25"/>
    <x v="0"/>
    <s v="Travel_Rarely"/>
    <n v="383"/>
    <x v="0"/>
    <n v="9"/>
    <n v="2"/>
    <s v="Life Sciences"/>
    <n v="1"/>
    <x v="1021"/>
    <n v="1"/>
    <s v="Male"/>
    <n v="68"/>
    <n v="2"/>
    <n v="1"/>
    <x v="6"/>
    <x v="3"/>
    <s v="Married"/>
    <n v="4400"/>
    <n v="15182"/>
    <n v="3"/>
    <s v="Y"/>
    <x v="1"/>
    <n v="12"/>
    <n v="3"/>
    <n v="1"/>
    <n v="80"/>
    <n v="0"/>
    <n v="6"/>
    <n v="2"/>
    <x v="1"/>
    <n v="3"/>
    <n v="2"/>
    <n v="2"/>
    <n v="2"/>
    <x v="2"/>
    <x v="0"/>
  </r>
  <r>
    <n v="37"/>
    <x v="1"/>
    <s v="Non-Travel"/>
    <n v="1413"/>
    <x v="1"/>
    <n v="5"/>
    <n v="2"/>
    <s v="Technical Degree"/>
    <n v="1"/>
    <x v="1022"/>
    <n v="3"/>
    <s v="Male"/>
    <n v="84"/>
    <n v="4"/>
    <n v="1"/>
    <x v="2"/>
    <x v="2"/>
    <s v="Single"/>
    <n v="3500"/>
    <n v="25470"/>
    <n v="0"/>
    <s v="Y"/>
    <x v="1"/>
    <n v="14"/>
    <n v="3"/>
    <n v="1"/>
    <n v="80"/>
    <n v="0"/>
    <n v="7"/>
    <n v="2"/>
    <x v="0"/>
    <n v="6"/>
    <n v="5"/>
    <n v="1"/>
    <n v="3"/>
    <x v="1"/>
    <x v="1"/>
  </r>
  <r>
    <n v="56"/>
    <x v="1"/>
    <s v="Travel_Rarely"/>
    <n v="1255"/>
    <x v="1"/>
    <n v="1"/>
    <n v="2"/>
    <s v="Life Sciences"/>
    <n v="1"/>
    <x v="1023"/>
    <n v="1"/>
    <s v="Female"/>
    <n v="90"/>
    <n v="3"/>
    <n v="1"/>
    <x v="1"/>
    <x v="3"/>
    <s v="Married"/>
    <n v="2066"/>
    <n v="10494"/>
    <n v="2"/>
    <s v="Y"/>
    <x v="1"/>
    <n v="22"/>
    <n v="4"/>
    <n v="4"/>
    <n v="80"/>
    <n v="1"/>
    <n v="5"/>
    <n v="3"/>
    <x v="3"/>
    <n v="3"/>
    <n v="2"/>
    <n v="1"/>
    <n v="0"/>
    <x v="3"/>
    <x v="1"/>
  </r>
  <r>
    <n v="47"/>
    <x v="1"/>
    <s v="Travel_Rarely"/>
    <n v="359"/>
    <x v="1"/>
    <n v="2"/>
    <n v="4"/>
    <s v="Medical"/>
    <n v="1"/>
    <x v="1024"/>
    <n v="1"/>
    <s v="Female"/>
    <n v="82"/>
    <n v="3"/>
    <n v="4"/>
    <x v="7"/>
    <x v="2"/>
    <s v="Married"/>
    <n v="17169"/>
    <n v="26703"/>
    <n v="3"/>
    <s v="Y"/>
    <x v="1"/>
    <n v="19"/>
    <n v="3"/>
    <n v="2"/>
    <n v="80"/>
    <n v="2"/>
    <n v="26"/>
    <n v="2"/>
    <x v="3"/>
    <n v="20"/>
    <n v="17"/>
    <n v="5"/>
    <n v="6"/>
    <x v="0"/>
    <x v="2"/>
  </r>
  <r>
    <n v="24"/>
    <x v="1"/>
    <s v="Travel_Rarely"/>
    <n v="1476"/>
    <x v="0"/>
    <n v="4"/>
    <n v="1"/>
    <s v="Medical"/>
    <n v="1"/>
    <x v="1025"/>
    <n v="4"/>
    <s v="Female"/>
    <n v="42"/>
    <n v="3"/>
    <n v="2"/>
    <x v="0"/>
    <x v="2"/>
    <s v="Married"/>
    <n v="4162"/>
    <n v="15211"/>
    <n v="1"/>
    <s v="Y"/>
    <x v="0"/>
    <n v="12"/>
    <n v="3"/>
    <n v="3"/>
    <n v="80"/>
    <n v="2"/>
    <n v="5"/>
    <n v="3"/>
    <x v="1"/>
    <n v="5"/>
    <n v="4"/>
    <n v="0"/>
    <n v="3"/>
    <x v="2"/>
    <x v="0"/>
  </r>
  <r>
    <n v="32"/>
    <x v="1"/>
    <s v="Travel_Rarely"/>
    <n v="601"/>
    <x v="0"/>
    <n v="7"/>
    <n v="5"/>
    <s v="Marketing"/>
    <n v="1"/>
    <x v="1026"/>
    <n v="4"/>
    <s v="Male"/>
    <n v="97"/>
    <n v="3"/>
    <n v="2"/>
    <x v="0"/>
    <x v="0"/>
    <s v="Married"/>
    <n v="9204"/>
    <n v="23343"/>
    <n v="4"/>
    <s v="Y"/>
    <x v="1"/>
    <n v="12"/>
    <n v="3"/>
    <n v="3"/>
    <n v="80"/>
    <n v="1"/>
    <n v="7"/>
    <n v="3"/>
    <x v="2"/>
    <n v="4"/>
    <n v="3"/>
    <n v="0"/>
    <n v="3"/>
    <x v="1"/>
    <x v="2"/>
  </r>
  <r>
    <n v="34"/>
    <x v="1"/>
    <s v="Travel_Rarely"/>
    <n v="401"/>
    <x v="1"/>
    <n v="1"/>
    <n v="3"/>
    <s v="Life Sciences"/>
    <n v="1"/>
    <x v="1027"/>
    <n v="4"/>
    <s v="Female"/>
    <n v="86"/>
    <n v="2"/>
    <n v="1"/>
    <x v="2"/>
    <x v="1"/>
    <s v="Married"/>
    <n v="3294"/>
    <n v="3708"/>
    <n v="5"/>
    <s v="Y"/>
    <x v="1"/>
    <n v="17"/>
    <n v="3"/>
    <n v="1"/>
    <n v="80"/>
    <n v="1"/>
    <n v="7"/>
    <n v="2"/>
    <x v="2"/>
    <n v="5"/>
    <n v="4"/>
    <n v="0"/>
    <n v="2"/>
    <x v="1"/>
    <x v="1"/>
  </r>
  <r>
    <n v="41"/>
    <x v="1"/>
    <s v="Travel_Rarely"/>
    <n v="1283"/>
    <x v="1"/>
    <n v="5"/>
    <n v="5"/>
    <s v="Medical"/>
    <n v="1"/>
    <x v="1028"/>
    <n v="2"/>
    <s v="Male"/>
    <n v="90"/>
    <n v="4"/>
    <n v="1"/>
    <x v="1"/>
    <x v="2"/>
    <s v="Married"/>
    <n v="2127"/>
    <n v="5561"/>
    <n v="2"/>
    <s v="Y"/>
    <x v="0"/>
    <n v="12"/>
    <n v="3"/>
    <n v="1"/>
    <n v="80"/>
    <n v="0"/>
    <n v="7"/>
    <n v="5"/>
    <x v="2"/>
    <n v="4"/>
    <n v="2"/>
    <n v="0"/>
    <n v="3"/>
    <x v="0"/>
    <x v="1"/>
  </r>
  <r>
    <n v="40"/>
    <x v="1"/>
    <s v="Non-Travel"/>
    <n v="663"/>
    <x v="1"/>
    <n v="9"/>
    <n v="4"/>
    <s v="Other"/>
    <n v="1"/>
    <x v="1029"/>
    <n v="3"/>
    <s v="Male"/>
    <n v="81"/>
    <n v="3"/>
    <n v="2"/>
    <x v="2"/>
    <x v="2"/>
    <s v="Divorced"/>
    <n v="3975"/>
    <n v="23099"/>
    <n v="3"/>
    <s v="Y"/>
    <x v="1"/>
    <n v="11"/>
    <n v="3"/>
    <n v="3"/>
    <n v="80"/>
    <n v="2"/>
    <n v="11"/>
    <n v="2"/>
    <x v="3"/>
    <n v="8"/>
    <n v="7"/>
    <n v="0"/>
    <n v="7"/>
    <x v="1"/>
    <x v="1"/>
  </r>
  <r>
    <n v="31"/>
    <x v="1"/>
    <s v="Travel_Rarely"/>
    <n v="326"/>
    <x v="0"/>
    <n v="8"/>
    <n v="2"/>
    <s v="Life Sciences"/>
    <n v="1"/>
    <x v="1030"/>
    <n v="1"/>
    <s v="Male"/>
    <n v="31"/>
    <n v="3"/>
    <n v="3"/>
    <x v="0"/>
    <x v="0"/>
    <s v="Divorced"/>
    <n v="10793"/>
    <n v="8386"/>
    <n v="1"/>
    <s v="Y"/>
    <x v="1"/>
    <n v="18"/>
    <n v="3"/>
    <n v="1"/>
    <n v="80"/>
    <n v="1"/>
    <n v="13"/>
    <n v="5"/>
    <x v="1"/>
    <n v="13"/>
    <n v="7"/>
    <n v="9"/>
    <n v="9"/>
    <x v="1"/>
    <x v="2"/>
  </r>
  <r>
    <n v="46"/>
    <x v="0"/>
    <s v="Travel_Rarely"/>
    <n v="377"/>
    <x v="0"/>
    <n v="9"/>
    <n v="3"/>
    <s v="Marketing"/>
    <n v="1"/>
    <x v="1031"/>
    <n v="1"/>
    <s v="Male"/>
    <n v="52"/>
    <n v="3"/>
    <n v="3"/>
    <x v="0"/>
    <x v="0"/>
    <s v="Divorced"/>
    <n v="10096"/>
    <n v="15986"/>
    <n v="4"/>
    <s v="Y"/>
    <x v="1"/>
    <n v="11"/>
    <n v="3"/>
    <n v="1"/>
    <n v="80"/>
    <n v="1"/>
    <n v="28"/>
    <n v="1"/>
    <x v="3"/>
    <n v="7"/>
    <n v="7"/>
    <n v="4"/>
    <n v="3"/>
    <x v="0"/>
    <x v="2"/>
  </r>
  <r>
    <n v="39"/>
    <x v="0"/>
    <s v="Non-Travel"/>
    <n v="592"/>
    <x v="1"/>
    <n v="2"/>
    <n v="3"/>
    <s v="Life Sciences"/>
    <n v="1"/>
    <x v="1032"/>
    <n v="1"/>
    <s v="Female"/>
    <n v="54"/>
    <n v="2"/>
    <n v="1"/>
    <x v="2"/>
    <x v="3"/>
    <s v="Single"/>
    <n v="3646"/>
    <n v="17181"/>
    <n v="2"/>
    <s v="Y"/>
    <x v="0"/>
    <n v="23"/>
    <n v="4"/>
    <n v="2"/>
    <n v="80"/>
    <n v="0"/>
    <n v="11"/>
    <n v="2"/>
    <x v="3"/>
    <n v="1"/>
    <n v="0"/>
    <n v="0"/>
    <n v="0"/>
    <x v="1"/>
    <x v="1"/>
  </r>
  <r>
    <n v="31"/>
    <x v="0"/>
    <s v="Travel_Frequently"/>
    <n v="1445"/>
    <x v="1"/>
    <n v="1"/>
    <n v="5"/>
    <s v="Life Sciences"/>
    <n v="1"/>
    <x v="1033"/>
    <n v="3"/>
    <s v="Female"/>
    <n v="100"/>
    <n v="4"/>
    <n v="3"/>
    <x v="3"/>
    <x v="1"/>
    <s v="Single"/>
    <n v="7446"/>
    <n v="8931"/>
    <n v="1"/>
    <s v="Y"/>
    <x v="1"/>
    <n v="11"/>
    <n v="3"/>
    <n v="1"/>
    <n v="80"/>
    <n v="0"/>
    <n v="10"/>
    <n v="2"/>
    <x v="1"/>
    <n v="10"/>
    <n v="8"/>
    <n v="4"/>
    <n v="7"/>
    <x v="1"/>
    <x v="2"/>
  </r>
  <r>
    <n v="45"/>
    <x v="1"/>
    <s v="Travel_Rarely"/>
    <n v="1038"/>
    <x v="1"/>
    <n v="20"/>
    <n v="3"/>
    <s v="Medical"/>
    <n v="1"/>
    <x v="1034"/>
    <n v="2"/>
    <s v="Male"/>
    <n v="95"/>
    <n v="1"/>
    <n v="3"/>
    <x v="4"/>
    <x v="3"/>
    <s v="Divorced"/>
    <n v="10851"/>
    <n v="19863"/>
    <n v="2"/>
    <s v="Y"/>
    <x v="0"/>
    <n v="18"/>
    <n v="3"/>
    <n v="2"/>
    <n v="80"/>
    <n v="1"/>
    <n v="24"/>
    <n v="2"/>
    <x v="1"/>
    <n v="7"/>
    <n v="7"/>
    <n v="0"/>
    <n v="7"/>
    <x v="0"/>
    <x v="2"/>
  </r>
  <r>
    <n v="31"/>
    <x v="1"/>
    <s v="Travel_Rarely"/>
    <n v="1398"/>
    <x v="2"/>
    <n v="8"/>
    <n v="2"/>
    <s v="Medical"/>
    <n v="1"/>
    <x v="1035"/>
    <n v="4"/>
    <s v="Female"/>
    <n v="96"/>
    <n v="4"/>
    <n v="1"/>
    <x v="8"/>
    <x v="1"/>
    <s v="Single"/>
    <n v="2109"/>
    <n v="24609"/>
    <n v="9"/>
    <s v="Y"/>
    <x v="1"/>
    <n v="18"/>
    <n v="3"/>
    <n v="4"/>
    <n v="80"/>
    <n v="0"/>
    <n v="8"/>
    <n v="3"/>
    <x v="1"/>
    <n v="3"/>
    <n v="2"/>
    <n v="0"/>
    <n v="2"/>
    <x v="1"/>
    <x v="1"/>
  </r>
  <r>
    <n v="31"/>
    <x v="0"/>
    <s v="Travel_Frequently"/>
    <n v="523"/>
    <x v="1"/>
    <n v="2"/>
    <n v="3"/>
    <s v="Life Sciences"/>
    <n v="1"/>
    <x v="1036"/>
    <n v="2"/>
    <s v="Male"/>
    <n v="94"/>
    <n v="3"/>
    <n v="1"/>
    <x v="2"/>
    <x v="0"/>
    <s v="Married"/>
    <n v="3722"/>
    <n v="21081"/>
    <n v="6"/>
    <s v="Y"/>
    <x v="0"/>
    <n v="13"/>
    <n v="3"/>
    <n v="3"/>
    <n v="80"/>
    <n v="1"/>
    <n v="7"/>
    <n v="2"/>
    <x v="0"/>
    <n v="2"/>
    <n v="2"/>
    <n v="2"/>
    <n v="2"/>
    <x v="1"/>
    <x v="1"/>
  </r>
  <r>
    <n v="45"/>
    <x v="1"/>
    <s v="Travel_Rarely"/>
    <n v="1448"/>
    <x v="1"/>
    <n v="29"/>
    <n v="3"/>
    <s v="Technical Degree"/>
    <n v="1"/>
    <x v="1037"/>
    <n v="2"/>
    <s v="Male"/>
    <n v="55"/>
    <n v="3"/>
    <n v="3"/>
    <x v="3"/>
    <x v="0"/>
    <s v="Married"/>
    <n v="9380"/>
    <n v="14720"/>
    <n v="4"/>
    <s v="Y"/>
    <x v="0"/>
    <n v="18"/>
    <n v="3"/>
    <n v="4"/>
    <n v="80"/>
    <n v="2"/>
    <n v="10"/>
    <n v="4"/>
    <x v="3"/>
    <n v="3"/>
    <n v="1"/>
    <n v="1"/>
    <n v="2"/>
    <x v="0"/>
    <x v="2"/>
  </r>
  <r>
    <n v="48"/>
    <x v="1"/>
    <s v="Travel_Rarely"/>
    <n v="1221"/>
    <x v="0"/>
    <n v="7"/>
    <n v="3"/>
    <s v="Marketing"/>
    <n v="1"/>
    <x v="1038"/>
    <n v="3"/>
    <s v="Male"/>
    <n v="96"/>
    <n v="3"/>
    <n v="2"/>
    <x v="0"/>
    <x v="3"/>
    <s v="Divorced"/>
    <n v="5486"/>
    <n v="24795"/>
    <n v="4"/>
    <s v="Y"/>
    <x v="1"/>
    <n v="11"/>
    <n v="3"/>
    <n v="1"/>
    <n v="80"/>
    <n v="3"/>
    <n v="15"/>
    <n v="3"/>
    <x v="1"/>
    <n v="2"/>
    <n v="2"/>
    <n v="2"/>
    <n v="2"/>
    <x v="0"/>
    <x v="0"/>
  </r>
  <r>
    <n v="34"/>
    <x v="0"/>
    <s v="Travel_Rarely"/>
    <n v="1107"/>
    <x v="2"/>
    <n v="9"/>
    <n v="4"/>
    <s v="Technical Degree"/>
    <n v="1"/>
    <x v="1039"/>
    <n v="1"/>
    <s v="Female"/>
    <n v="52"/>
    <n v="3"/>
    <n v="1"/>
    <x v="8"/>
    <x v="2"/>
    <s v="Married"/>
    <n v="2742"/>
    <n v="3072"/>
    <n v="1"/>
    <s v="Y"/>
    <x v="1"/>
    <n v="15"/>
    <n v="3"/>
    <n v="4"/>
    <n v="80"/>
    <n v="0"/>
    <n v="2"/>
    <n v="0"/>
    <x v="1"/>
    <n v="2"/>
    <n v="2"/>
    <n v="2"/>
    <n v="2"/>
    <x v="1"/>
    <x v="1"/>
  </r>
  <r>
    <n v="40"/>
    <x v="1"/>
    <s v="Non-Travel"/>
    <n v="218"/>
    <x v="1"/>
    <n v="8"/>
    <n v="1"/>
    <s v="Medical"/>
    <n v="1"/>
    <x v="1040"/>
    <n v="4"/>
    <s v="Male"/>
    <n v="55"/>
    <n v="2"/>
    <n v="3"/>
    <x v="7"/>
    <x v="1"/>
    <s v="Divorced"/>
    <n v="13757"/>
    <n v="25178"/>
    <n v="2"/>
    <s v="Y"/>
    <x v="1"/>
    <n v="11"/>
    <n v="3"/>
    <n v="3"/>
    <n v="80"/>
    <n v="1"/>
    <n v="16"/>
    <n v="5"/>
    <x v="1"/>
    <n v="9"/>
    <n v="8"/>
    <n v="4"/>
    <n v="8"/>
    <x v="1"/>
    <x v="2"/>
  </r>
  <r>
    <n v="28"/>
    <x v="1"/>
    <s v="Travel_Rarely"/>
    <n v="866"/>
    <x v="0"/>
    <n v="5"/>
    <n v="3"/>
    <s v="Medical"/>
    <n v="1"/>
    <x v="1041"/>
    <n v="4"/>
    <s v="Male"/>
    <n v="84"/>
    <n v="3"/>
    <n v="2"/>
    <x v="0"/>
    <x v="3"/>
    <s v="Single"/>
    <n v="8463"/>
    <n v="23490"/>
    <n v="0"/>
    <s v="Y"/>
    <x v="1"/>
    <n v="18"/>
    <n v="3"/>
    <n v="4"/>
    <n v="80"/>
    <n v="0"/>
    <n v="6"/>
    <n v="4"/>
    <x v="1"/>
    <n v="5"/>
    <n v="4"/>
    <n v="1"/>
    <n v="3"/>
    <x v="2"/>
    <x v="2"/>
  </r>
  <r>
    <n v="44"/>
    <x v="1"/>
    <s v="Non-Travel"/>
    <n v="981"/>
    <x v="1"/>
    <n v="5"/>
    <n v="3"/>
    <s v="Life Sciences"/>
    <n v="1"/>
    <x v="1042"/>
    <n v="3"/>
    <s v="Male"/>
    <n v="90"/>
    <n v="2"/>
    <n v="1"/>
    <x v="2"/>
    <x v="2"/>
    <s v="Single"/>
    <n v="3162"/>
    <n v="7973"/>
    <n v="3"/>
    <s v="Y"/>
    <x v="1"/>
    <n v="14"/>
    <n v="3"/>
    <n v="4"/>
    <n v="80"/>
    <n v="0"/>
    <n v="7"/>
    <n v="5"/>
    <x v="1"/>
    <n v="5"/>
    <n v="2"/>
    <n v="0"/>
    <n v="3"/>
    <x v="0"/>
    <x v="1"/>
  </r>
  <r>
    <n v="53"/>
    <x v="1"/>
    <s v="Travel_Rarely"/>
    <n v="447"/>
    <x v="1"/>
    <n v="2"/>
    <n v="3"/>
    <s v="Medical"/>
    <n v="1"/>
    <x v="1043"/>
    <n v="4"/>
    <s v="Male"/>
    <n v="39"/>
    <n v="4"/>
    <n v="4"/>
    <x v="7"/>
    <x v="1"/>
    <s v="Single"/>
    <n v="16598"/>
    <n v="19764"/>
    <n v="4"/>
    <s v="Y"/>
    <x v="1"/>
    <n v="12"/>
    <n v="3"/>
    <n v="2"/>
    <n v="80"/>
    <n v="0"/>
    <n v="35"/>
    <n v="2"/>
    <x v="2"/>
    <n v="9"/>
    <n v="8"/>
    <n v="8"/>
    <n v="8"/>
    <x v="3"/>
    <x v="2"/>
  </r>
  <r>
    <n v="49"/>
    <x v="1"/>
    <s v="Travel_Rarely"/>
    <n v="1495"/>
    <x v="1"/>
    <n v="5"/>
    <n v="4"/>
    <s v="Technical Degree"/>
    <n v="1"/>
    <x v="1044"/>
    <n v="1"/>
    <s v="Male"/>
    <n v="96"/>
    <n v="3"/>
    <n v="2"/>
    <x v="4"/>
    <x v="2"/>
    <s v="Married"/>
    <n v="6651"/>
    <n v="21534"/>
    <n v="2"/>
    <s v="Y"/>
    <x v="1"/>
    <n v="14"/>
    <n v="3"/>
    <n v="2"/>
    <n v="80"/>
    <n v="1"/>
    <n v="20"/>
    <n v="0"/>
    <x v="2"/>
    <n v="3"/>
    <n v="2"/>
    <n v="1"/>
    <n v="2"/>
    <x v="0"/>
    <x v="0"/>
  </r>
  <r>
    <n v="40"/>
    <x v="1"/>
    <s v="Travel_Rarely"/>
    <n v="896"/>
    <x v="1"/>
    <n v="2"/>
    <n v="3"/>
    <s v="Medical"/>
    <n v="1"/>
    <x v="1045"/>
    <n v="3"/>
    <s v="Male"/>
    <n v="68"/>
    <n v="3"/>
    <n v="1"/>
    <x v="1"/>
    <x v="2"/>
    <s v="Divorced"/>
    <n v="2345"/>
    <n v="8045"/>
    <n v="2"/>
    <s v="Y"/>
    <x v="1"/>
    <n v="14"/>
    <n v="3"/>
    <n v="3"/>
    <n v="80"/>
    <n v="1"/>
    <n v="8"/>
    <n v="3"/>
    <x v="3"/>
    <n v="3"/>
    <n v="1"/>
    <n v="1"/>
    <n v="2"/>
    <x v="1"/>
    <x v="1"/>
  </r>
  <r>
    <n v="44"/>
    <x v="1"/>
    <s v="Travel_Rarely"/>
    <n v="1467"/>
    <x v="1"/>
    <n v="20"/>
    <n v="3"/>
    <s v="Life Sciences"/>
    <n v="1"/>
    <x v="1046"/>
    <n v="4"/>
    <s v="Male"/>
    <n v="49"/>
    <n v="3"/>
    <n v="1"/>
    <x v="1"/>
    <x v="1"/>
    <s v="Single"/>
    <n v="3420"/>
    <n v="21158"/>
    <n v="1"/>
    <s v="Y"/>
    <x v="1"/>
    <n v="13"/>
    <n v="3"/>
    <n v="3"/>
    <n v="80"/>
    <n v="0"/>
    <n v="6"/>
    <n v="3"/>
    <x v="2"/>
    <n v="5"/>
    <n v="2"/>
    <n v="1"/>
    <n v="3"/>
    <x v="0"/>
    <x v="1"/>
  </r>
  <r>
    <n v="33"/>
    <x v="1"/>
    <s v="Travel_Frequently"/>
    <n v="430"/>
    <x v="0"/>
    <n v="7"/>
    <n v="3"/>
    <s v="Medical"/>
    <n v="1"/>
    <x v="1047"/>
    <n v="4"/>
    <s v="Male"/>
    <n v="54"/>
    <n v="3"/>
    <n v="2"/>
    <x v="0"/>
    <x v="3"/>
    <s v="Married"/>
    <n v="4373"/>
    <n v="17456"/>
    <n v="0"/>
    <s v="Y"/>
    <x v="1"/>
    <n v="14"/>
    <n v="3"/>
    <n v="1"/>
    <n v="80"/>
    <n v="2"/>
    <n v="5"/>
    <n v="2"/>
    <x v="1"/>
    <n v="4"/>
    <n v="3"/>
    <n v="0"/>
    <n v="3"/>
    <x v="1"/>
    <x v="0"/>
  </r>
  <r>
    <n v="34"/>
    <x v="1"/>
    <s v="Travel_Rarely"/>
    <n v="1326"/>
    <x v="0"/>
    <n v="3"/>
    <n v="3"/>
    <s v="Other"/>
    <n v="1"/>
    <x v="1048"/>
    <n v="4"/>
    <s v="Male"/>
    <n v="81"/>
    <n v="1"/>
    <n v="2"/>
    <x v="0"/>
    <x v="3"/>
    <s v="Single"/>
    <n v="4759"/>
    <n v="15891"/>
    <n v="3"/>
    <s v="Y"/>
    <x v="1"/>
    <n v="18"/>
    <n v="3"/>
    <n v="4"/>
    <n v="80"/>
    <n v="0"/>
    <n v="15"/>
    <n v="2"/>
    <x v="1"/>
    <n v="13"/>
    <n v="9"/>
    <n v="3"/>
    <n v="12"/>
    <x v="1"/>
    <x v="0"/>
  </r>
  <r>
    <n v="30"/>
    <x v="1"/>
    <s v="Travel_Rarely"/>
    <n v="1358"/>
    <x v="0"/>
    <n v="16"/>
    <n v="1"/>
    <s v="Life Sciences"/>
    <n v="1"/>
    <x v="1049"/>
    <n v="4"/>
    <s v="Male"/>
    <n v="96"/>
    <n v="3"/>
    <n v="2"/>
    <x v="0"/>
    <x v="2"/>
    <s v="Married"/>
    <n v="5301"/>
    <n v="2939"/>
    <n v="8"/>
    <s v="Y"/>
    <x v="1"/>
    <n v="15"/>
    <n v="3"/>
    <n v="3"/>
    <n v="80"/>
    <n v="2"/>
    <n v="4"/>
    <n v="2"/>
    <x v="2"/>
    <n v="2"/>
    <n v="1"/>
    <n v="2"/>
    <n v="2"/>
    <x v="1"/>
    <x v="0"/>
  </r>
  <r>
    <n v="42"/>
    <x v="1"/>
    <s v="Travel_Frequently"/>
    <n v="748"/>
    <x v="1"/>
    <n v="9"/>
    <n v="2"/>
    <s v="Medical"/>
    <n v="1"/>
    <x v="1050"/>
    <n v="1"/>
    <s v="Female"/>
    <n v="74"/>
    <n v="3"/>
    <n v="1"/>
    <x v="2"/>
    <x v="0"/>
    <s v="Single"/>
    <n v="3673"/>
    <n v="16458"/>
    <n v="1"/>
    <s v="Y"/>
    <x v="1"/>
    <n v="13"/>
    <n v="3"/>
    <n v="3"/>
    <n v="80"/>
    <n v="0"/>
    <n v="12"/>
    <n v="3"/>
    <x v="1"/>
    <n v="12"/>
    <n v="9"/>
    <n v="5"/>
    <n v="8"/>
    <x v="0"/>
    <x v="1"/>
  </r>
  <r>
    <n v="44"/>
    <x v="1"/>
    <s v="Travel_Frequently"/>
    <n v="383"/>
    <x v="0"/>
    <n v="1"/>
    <n v="5"/>
    <s v="Marketing"/>
    <n v="1"/>
    <x v="1051"/>
    <n v="1"/>
    <s v="Female"/>
    <n v="79"/>
    <n v="3"/>
    <n v="2"/>
    <x v="0"/>
    <x v="2"/>
    <s v="Married"/>
    <n v="4768"/>
    <n v="9282"/>
    <n v="7"/>
    <s v="Y"/>
    <x v="1"/>
    <n v="12"/>
    <n v="3"/>
    <n v="3"/>
    <n v="80"/>
    <n v="1"/>
    <n v="11"/>
    <n v="4"/>
    <x v="2"/>
    <n v="1"/>
    <n v="0"/>
    <n v="0"/>
    <n v="0"/>
    <x v="0"/>
    <x v="0"/>
  </r>
  <r>
    <n v="30"/>
    <x v="1"/>
    <s v="Non-Travel"/>
    <n v="990"/>
    <x v="1"/>
    <n v="7"/>
    <n v="3"/>
    <s v="Technical Degree"/>
    <n v="1"/>
    <x v="1052"/>
    <n v="3"/>
    <s v="Male"/>
    <n v="64"/>
    <n v="3"/>
    <n v="1"/>
    <x v="1"/>
    <x v="2"/>
    <s v="Divorced"/>
    <n v="1274"/>
    <n v="7152"/>
    <n v="1"/>
    <s v="Y"/>
    <x v="1"/>
    <n v="13"/>
    <n v="3"/>
    <n v="2"/>
    <n v="80"/>
    <n v="2"/>
    <n v="1"/>
    <n v="2"/>
    <x v="2"/>
    <n v="1"/>
    <n v="0"/>
    <n v="0"/>
    <n v="0"/>
    <x v="1"/>
    <x v="1"/>
  </r>
  <r>
    <n v="57"/>
    <x v="1"/>
    <s v="Travel_Rarely"/>
    <n v="405"/>
    <x v="1"/>
    <n v="1"/>
    <n v="2"/>
    <s v="Life Sciences"/>
    <n v="1"/>
    <x v="1053"/>
    <n v="2"/>
    <s v="Male"/>
    <n v="93"/>
    <n v="4"/>
    <n v="2"/>
    <x v="1"/>
    <x v="2"/>
    <s v="Married"/>
    <n v="4900"/>
    <n v="2721"/>
    <n v="0"/>
    <s v="Y"/>
    <x v="1"/>
    <n v="24"/>
    <n v="4"/>
    <n v="1"/>
    <n v="80"/>
    <n v="1"/>
    <n v="13"/>
    <n v="2"/>
    <x v="2"/>
    <n v="12"/>
    <n v="9"/>
    <n v="2"/>
    <n v="8"/>
    <x v="3"/>
    <x v="0"/>
  </r>
  <r>
    <n v="49"/>
    <x v="1"/>
    <s v="Travel_Rarely"/>
    <n v="1490"/>
    <x v="1"/>
    <n v="7"/>
    <n v="4"/>
    <s v="Life Sciences"/>
    <n v="1"/>
    <x v="1054"/>
    <n v="3"/>
    <s v="Male"/>
    <n v="35"/>
    <n v="3"/>
    <n v="3"/>
    <x v="4"/>
    <x v="1"/>
    <s v="Divorced"/>
    <n v="10466"/>
    <n v="20948"/>
    <n v="3"/>
    <s v="Y"/>
    <x v="1"/>
    <n v="14"/>
    <n v="3"/>
    <n v="2"/>
    <n v="80"/>
    <n v="2"/>
    <n v="29"/>
    <n v="3"/>
    <x v="1"/>
    <n v="8"/>
    <n v="7"/>
    <n v="0"/>
    <n v="7"/>
    <x v="0"/>
    <x v="2"/>
  </r>
  <r>
    <n v="34"/>
    <x v="1"/>
    <s v="Travel_Frequently"/>
    <n v="829"/>
    <x v="1"/>
    <n v="15"/>
    <n v="3"/>
    <s v="Medical"/>
    <n v="1"/>
    <x v="1055"/>
    <n v="2"/>
    <s v="Male"/>
    <n v="71"/>
    <n v="3"/>
    <n v="4"/>
    <x v="7"/>
    <x v="3"/>
    <s v="Divorced"/>
    <n v="17007"/>
    <n v="11929"/>
    <n v="7"/>
    <s v="Y"/>
    <x v="1"/>
    <n v="14"/>
    <n v="3"/>
    <n v="4"/>
    <n v="80"/>
    <n v="2"/>
    <n v="16"/>
    <n v="3"/>
    <x v="2"/>
    <n v="14"/>
    <n v="8"/>
    <n v="6"/>
    <n v="9"/>
    <x v="1"/>
    <x v="2"/>
  </r>
  <r>
    <n v="28"/>
    <x v="0"/>
    <s v="Travel_Frequently"/>
    <n v="1496"/>
    <x v="0"/>
    <n v="1"/>
    <n v="3"/>
    <s v="Technical Degree"/>
    <n v="1"/>
    <x v="1056"/>
    <n v="1"/>
    <s v="Male"/>
    <n v="92"/>
    <n v="3"/>
    <n v="1"/>
    <x v="6"/>
    <x v="2"/>
    <s v="Married"/>
    <n v="2909"/>
    <n v="15747"/>
    <n v="3"/>
    <s v="Y"/>
    <x v="1"/>
    <n v="15"/>
    <n v="3"/>
    <n v="4"/>
    <n v="80"/>
    <n v="1"/>
    <n v="5"/>
    <n v="3"/>
    <x v="3"/>
    <n v="3"/>
    <n v="2"/>
    <n v="1"/>
    <n v="2"/>
    <x v="2"/>
    <x v="1"/>
  </r>
  <r>
    <n v="29"/>
    <x v="0"/>
    <s v="Travel_Frequently"/>
    <n v="115"/>
    <x v="0"/>
    <n v="13"/>
    <n v="3"/>
    <s v="Technical Degree"/>
    <n v="1"/>
    <x v="1057"/>
    <n v="1"/>
    <s v="Female"/>
    <n v="51"/>
    <n v="3"/>
    <n v="2"/>
    <x v="0"/>
    <x v="1"/>
    <s v="Single"/>
    <n v="5765"/>
    <n v="17485"/>
    <n v="5"/>
    <s v="Y"/>
    <x v="1"/>
    <n v="11"/>
    <n v="3"/>
    <n v="1"/>
    <n v="80"/>
    <n v="0"/>
    <n v="7"/>
    <n v="4"/>
    <x v="0"/>
    <n v="5"/>
    <n v="3"/>
    <n v="0"/>
    <n v="0"/>
    <x v="2"/>
    <x v="0"/>
  </r>
  <r>
    <n v="34"/>
    <x v="0"/>
    <s v="Travel_Rarely"/>
    <n v="790"/>
    <x v="0"/>
    <n v="24"/>
    <n v="4"/>
    <s v="Medical"/>
    <n v="1"/>
    <x v="1058"/>
    <n v="1"/>
    <s v="Female"/>
    <n v="40"/>
    <n v="2"/>
    <n v="2"/>
    <x v="0"/>
    <x v="1"/>
    <s v="Single"/>
    <n v="4599"/>
    <n v="7815"/>
    <n v="0"/>
    <s v="Y"/>
    <x v="0"/>
    <n v="23"/>
    <n v="4"/>
    <n v="3"/>
    <n v="80"/>
    <n v="0"/>
    <n v="16"/>
    <n v="2"/>
    <x v="3"/>
    <n v="15"/>
    <n v="9"/>
    <n v="10"/>
    <n v="10"/>
    <x v="1"/>
    <x v="0"/>
  </r>
  <r>
    <n v="35"/>
    <x v="1"/>
    <s v="Travel_Rarely"/>
    <n v="660"/>
    <x v="0"/>
    <n v="7"/>
    <n v="1"/>
    <s v="Life Sciences"/>
    <n v="1"/>
    <x v="1059"/>
    <n v="4"/>
    <s v="Male"/>
    <n v="76"/>
    <n v="3"/>
    <n v="1"/>
    <x v="6"/>
    <x v="2"/>
    <s v="Married"/>
    <n v="2404"/>
    <n v="16192"/>
    <n v="1"/>
    <s v="Y"/>
    <x v="1"/>
    <n v="13"/>
    <n v="3"/>
    <n v="1"/>
    <n v="80"/>
    <n v="1"/>
    <n v="1"/>
    <n v="3"/>
    <x v="1"/>
    <n v="1"/>
    <n v="0"/>
    <n v="0"/>
    <n v="0"/>
    <x v="1"/>
    <x v="1"/>
  </r>
  <r>
    <n v="24"/>
    <x v="0"/>
    <s v="Travel_Frequently"/>
    <n v="381"/>
    <x v="1"/>
    <n v="9"/>
    <n v="3"/>
    <s v="Medical"/>
    <n v="1"/>
    <x v="1060"/>
    <n v="2"/>
    <s v="Male"/>
    <n v="89"/>
    <n v="3"/>
    <n v="1"/>
    <x v="2"/>
    <x v="3"/>
    <s v="Single"/>
    <n v="3172"/>
    <n v="16998"/>
    <n v="2"/>
    <s v="Y"/>
    <x v="0"/>
    <n v="11"/>
    <n v="3"/>
    <n v="3"/>
    <n v="80"/>
    <n v="0"/>
    <n v="4"/>
    <n v="2"/>
    <x v="2"/>
    <n v="0"/>
    <n v="0"/>
    <n v="0"/>
    <n v="0"/>
    <x v="2"/>
    <x v="1"/>
  </r>
  <r>
    <n v="24"/>
    <x v="1"/>
    <s v="Non-Travel"/>
    <n v="830"/>
    <x v="0"/>
    <n v="13"/>
    <n v="2"/>
    <s v="Life Sciences"/>
    <n v="1"/>
    <x v="1061"/>
    <n v="4"/>
    <s v="Female"/>
    <n v="78"/>
    <n v="3"/>
    <n v="1"/>
    <x v="6"/>
    <x v="1"/>
    <s v="Married"/>
    <n v="2033"/>
    <n v="7103"/>
    <n v="1"/>
    <s v="Y"/>
    <x v="1"/>
    <n v="13"/>
    <n v="3"/>
    <n v="3"/>
    <n v="80"/>
    <n v="1"/>
    <n v="1"/>
    <n v="2"/>
    <x v="1"/>
    <n v="1"/>
    <n v="0"/>
    <n v="0"/>
    <n v="0"/>
    <x v="2"/>
    <x v="1"/>
  </r>
  <r>
    <n v="44"/>
    <x v="1"/>
    <s v="Travel_Frequently"/>
    <n v="1193"/>
    <x v="1"/>
    <n v="2"/>
    <n v="1"/>
    <s v="Medical"/>
    <n v="1"/>
    <x v="1062"/>
    <n v="2"/>
    <s v="Male"/>
    <n v="86"/>
    <n v="3"/>
    <n v="3"/>
    <x v="3"/>
    <x v="2"/>
    <s v="Single"/>
    <n v="10209"/>
    <n v="19719"/>
    <n v="5"/>
    <s v="Y"/>
    <x v="0"/>
    <n v="18"/>
    <n v="3"/>
    <n v="2"/>
    <n v="80"/>
    <n v="0"/>
    <n v="16"/>
    <n v="2"/>
    <x v="2"/>
    <n v="2"/>
    <n v="2"/>
    <n v="2"/>
    <n v="2"/>
    <x v="0"/>
    <x v="2"/>
  </r>
  <r>
    <n v="29"/>
    <x v="1"/>
    <s v="Travel_Rarely"/>
    <n v="1246"/>
    <x v="0"/>
    <n v="19"/>
    <n v="3"/>
    <s v="Life Sciences"/>
    <n v="1"/>
    <x v="1063"/>
    <n v="3"/>
    <s v="Male"/>
    <n v="77"/>
    <n v="2"/>
    <n v="2"/>
    <x v="0"/>
    <x v="2"/>
    <s v="Divorced"/>
    <n v="8620"/>
    <n v="23757"/>
    <n v="1"/>
    <s v="Y"/>
    <x v="1"/>
    <n v="14"/>
    <n v="3"/>
    <n v="3"/>
    <n v="80"/>
    <n v="2"/>
    <n v="10"/>
    <n v="3"/>
    <x v="1"/>
    <n v="10"/>
    <n v="7"/>
    <n v="0"/>
    <n v="4"/>
    <x v="2"/>
    <x v="2"/>
  </r>
  <r>
    <n v="30"/>
    <x v="1"/>
    <s v="Travel_Rarely"/>
    <n v="330"/>
    <x v="2"/>
    <n v="1"/>
    <n v="3"/>
    <s v="Life Sciences"/>
    <n v="1"/>
    <x v="1064"/>
    <n v="3"/>
    <s v="Male"/>
    <n v="46"/>
    <n v="3"/>
    <n v="1"/>
    <x v="8"/>
    <x v="2"/>
    <s v="Divorced"/>
    <n v="2064"/>
    <n v="15428"/>
    <n v="0"/>
    <s v="Y"/>
    <x v="1"/>
    <n v="21"/>
    <n v="4"/>
    <n v="1"/>
    <n v="80"/>
    <n v="1"/>
    <n v="6"/>
    <n v="3"/>
    <x v="3"/>
    <n v="5"/>
    <n v="3"/>
    <n v="1"/>
    <n v="3"/>
    <x v="1"/>
    <x v="1"/>
  </r>
  <r>
    <n v="55"/>
    <x v="1"/>
    <s v="Travel_Rarely"/>
    <n v="1229"/>
    <x v="1"/>
    <n v="4"/>
    <n v="4"/>
    <s v="Life Sciences"/>
    <n v="1"/>
    <x v="1065"/>
    <n v="4"/>
    <s v="Male"/>
    <n v="30"/>
    <n v="3"/>
    <n v="2"/>
    <x v="4"/>
    <x v="2"/>
    <s v="Married"/>
    <n v="4035"/>
    <n v="16143"/>
    <n v="0"/>
    <s v="Y"/>
    <x v="0"/>
    <n v="16"/>
    <n v="3"/>
    <n v="2"/>
    <n v="80"/>
    <n v="0"/>
    <n v="4"/>
    <n v="2"/>
    <x v="1"/>
    <n v="3"/>
    <n v="2"/>
    <n v="1"/>
    <n v="2"/>
    <x v="3"/>
    <x v="0"/>
  </r>
  <r>
    <n v="33"/>
    <x v="1"/>
    <s v="Travel_Rarely"/>
    <n v="1099"/>
    <x v="1"/>
    <n v="4"/>
    <n v="4"/>
    <s v="Medical"/>
    <n v="1"/>
    <x v="1066"/>
    <n v="1"/>
    <s v="Female"/>
    <n v="82"/>
    <n v="2"/>
    <n v="1"/>
    <x v="2"/>
    <x v="1"/>
    <s v="Married"/>
    <n v="3838"/>
    <n v="8192"/>
    <n v="8"/>
    <s v="Y"/>
    <x v="1"/>
    <n v="11"/>
    <n v="3"/>
    <n v="4"/>
    <n v="80"/>
    <n v="0"/>
    <n v="8"/>
    <n v="5"/>
    <x v="1"/>
    <n v="5"/>
    <n v="4"/>
    <n v="0"/>
    <n v="2"/>
    <x v="1"/>
    <x v="1"/>
  </r>
  <r>
    <n v="47"/>
    <x v="1"/>
    <s v="Travel_Rarely"/>
    <n v="571"/>
    <x v="0"/>
    <n v="14"/>
    <n v="3"/>
    <s v="Medical"/>
    <n v="1"/>
    <x v="1067"/>
    <n v="3"/>
    <s v="Female"/>
    <n v="78"/>
    <n v="3"/>
    <n v="2"/>
    <x v="0"/>
    <x v="2"/>
    <s v="Married"/>
    <n v="4591"/>
    <n v="24200"/>
    <n v="3"/>
    <s v="Y"/>
    <x v="0"/>
    <n v="17"/>
    <n v="3"/>
    <n v="3"/>
    <n v="80"/>
    <n v="1"/>
    <n v="11"/>
    <n v="4"/>
    <x v="2"/>
    <n v="5"/>
    <n v="4"/>
    <n v="1"/>
    <n v="2"/>
    <x v="0"/>
    <x v="0"/>
  </r>
  <r>
    <n v="28"/>
    <x v="0"/>
    <s v="Travel_Frequently"/>
    <n v="289"/>
    <x v="1"/>
    <n v="2"/>
    <n v="2"/>
    <s v="Medical"/>
    <n v="1"/>
    <x v="1068"/>
    <n v="3"/>
    <s v="Male"/>
    <n v="38"/>
    <n v="2"/>
    <n v="1"/>
    <x v="2"/>
    <x v="3"/>
    <s v="Single"/>
    <n v="2561"/>
    <n v="5355"/>
    <n v="7"/>
    <s v="Y"/>
    <x v="1"/>
    <n v="11"/>
    <n v="3"/>
    <n v="3"/>
    <n v="80"/>
    <n v="0"/>
    <n v="8"/>
    <n v="2"/>
    <x v="2"/>
    <n v="0"/>
    <n v="0"/>
    <n v="0"/>
    <n v="0"/>
    <x v="2"/>
    <x v="1"/>
  </r>
  <r>
    <n v="28"/>
    <x v="1"/>
    <s v="Travel_Rarely"/>
    <n v="1423"/>
    <x v="1"/>
    <n v="1"/>
    <n v="3"/>
    <s v="Life Sciences"/>
    <n v="1"/>
    <x v="1069"/>
    <n v="1"/>
    <s v="Male"/>
    <n v="72"/>
    <n v="2"/>
    <n v="1"/>
    <x v="1"/>
    <x v="2"/>
    <s v="Divorced"/>
    <n v="1563"/>
    <n v="12530"/>
    <n v="1"/>
    <s v="Y"/>
    <x v="1"/>
    <n v="14"/>
    <n v="3"/>
    <n v="4"/>
    <n v="80"/>
    <n v="1"/>
    <n v="1"/>
    <n v="2"/>
    <x v="0"/>
    <n v="1"/>
    <n v="0"/>
    <n v="0"/>
    <n v="0"/>
    <x v="2"/>
    <x v="1"/>
  </r>
  <r>
    <n v="28"/>
    <x v="1"/>
    <s v="Travel_Frequently"/>
    <n v="467"/>
    <x v="0"/>
    <n v="7"/>
    <n v="3"/>
    <s v="Life Sciences"/>
    <n v="1"/>
    <x v="1070"/>
    <n v="3"/>
    <s v="Male"/>
    <n v="55"/>
    <n v="3"/>
    <n v="2"/>
    <x v="0"/>
    <x v="3"/>
    <s v="Single"/>
    <n v="4898"/>
    <n v="11827"/>
    <n v="0"/>
    <s v="Y"/>
    <x v="1"/>
    <n v="14"/>
    <n v="3"/>
    <n v="4"/>
    <n v="80"/>
    <n v="0"/>
    <n v="5"/>
    <n v="5"/>
    <x v="1"/>
    <n v="4"/>
    <n v="2"/>
    <n v="1"/>
    <n v="3"/>
    <x v="2"/>
    <x v="0"/>
  </r>
  <r>
    <n v="49"/>
    <x v="1"/>
    <s v="Travel_Rarely"/>
    <n v="271"/>
    <x v="1"/>
    <n v="3"/>
    <n v="2"/>
    <s v="Medical"/>
    <n v="1"/>
    <x v="1071"/>
    <n v="3"/>
    <s v="Female"/>
    <n v="43"/>
    <n v="2"/>
    <n v="2"/>
    <x v="2"/>
    <x v="3"/>
    <s v="Married"/>
    <n v="4789"/>
    <n v="23070"/>
    <n v="4"/>
    <s v="Y"/>
    <x v="1"/>
    <n v="25"/>
    <n v="4"/>
    <n v="1"/>
    <n v="80"/>
    <n v="1"/>
    <n v="10"/>
    <n v="3"/>
    <x v="1"/>
    <n v="3"/>
    <n v="2"/>
    <n v="1"/>
    <n v="2"/>
    <x v="0"/>
    <x v="0"/>
  </r>
  <r>
    <n v="29"/>
    <x v="1"/>
    <s v="Travel_Frequently"/>
    <n v="410"/>
    <x v="1"/>
    <n v="2"/>
    <n v="1"/>
    <s v="Life Sciences"/>
    <n v="1"/>
    <x v="1072"/>
    <n v="4"/>
    <s v="Female"/>
    <n v="97"/>
    <n v="3"/>
    <n v="1"/>
    <x v="2"/>
    <x v="1"/>
    <s v="Married"/>
    <n v="3180"/>
    <n v="4668"/>
    <n v="0"/>
    <s v="Y"/>
    <x v="1"/>
    <n v="13"/>
    <n v="3"/>
    <n v="3"/>
    <n v="80"/>
    <n v="3"/>
    <n v="4"/>
    <n v="3"/>
    <x v="1"/>
    <n v="3"/>
    <n v="2"/>
    <n v="0"/>
    <n v="2"/>
    <x v="2"/>
    <x v="1"/>
  </r>
  <r>
    <n v="28"/>
    <x v="1"/>
    <s v="Travel_Rarely"/>
    <n v="1083"/>
    <x v="1"/>
    <n v="29"/>
    <n v="1"/>
    <s v="Life Sciences"/>
    <n v="1"/>
    <x v="1073"/>
    <n v="3"/>
    <s v="Male"/>
    <n v="96"/>
    <n v="1"/>
    <n v="2"/>
    <x v="3"/>
    <x v="1"/>
    <s v="Married"/>
    <n v="6549"/>
    <n v="3173"/>
    <n v="1"/>
    <s v="Y"/>
    <x v="1"/>
    <n v="14"/>
    <n v="3"/>
    <n v="2"/>
    <n v="80"/>
    <n v="2"/>
    <n v="8"/>
    <n v="2"/>
    <x v="2"/>
    <n v="8"/>
    <n v="6"/>
    <n v="1"/>
    <n v="7"/>
    <x v="2"/>
    <x v="0"/>
  </r>
  <r>
    <n v="33"/>
    <x v="1"/>
    <s v="Travel_Rarely"/>
    <n v="516"/>
    <x v="1"/>
    <n v="8"/>
    <n v="5"/>
    <s v="Life Sciences"/>
    <n v="1"/>
    <x v="1074"/>
    <n v="4"/>
    <s v="Male"/>
    <n v="69"/>
    <n v="3"/>
    <n v="2"/>
    <x v="4"/>
    <x v="2"/>
    <s v="Single"/>
    <n v="6388"/>
    <n v="22049"/>
    <n v="2"/>
    <s v="Y"/>
    <x v="0"/>
    <n v="17"/>
    <n v="3"/>
    <n v="1"/>
    <n v="80"/>
    <n v="0"/>
    <n v="14"/>
    <n v="6"/>
    <x v="1"/>
    <n v="0"/>
    <n v="0"/>
    <n v="0"/>
    <n v="0"/>
    <x v="1"/>
    <x v="0"/>
  </r>
  <r>
    <n v="32"/>
    <x v="1"/>
    <s v="Travel_Rarely"/>
    <n v="495"/>
    <x v="1"/>
    <n v="10"/>
    <n v="3"/>
    <s v="Medical"/>
    <n v="1"/>
    <x v="1075"/>
    <n v="3"/>
    <s v="Male"/>
    <n v="64"/>
    <n v="3"/>
    <n v="3"/>
    <x v="5"/>
    <x v="0"/>
    <s v="Single"/>
    <n v="11244"/>
    <n v="21072"/>
    <n v="2"/>
    <s v="Y"/>
    <x v="1"/>
    <n v="25"/>
    <n v="4"/>
    <n v="2"/>
    <n v="80"/>
    <n v="0"/>
    <n v="10"/>
    <n v="5"/>
    <x v="3"/>
    <n v="5"/>
    <n v="2"/>
    <n v="0"/>
    <n v="0"/>
    <x v="1"/>
    <x v="2"/>
  </r>
  <r>
    <n v="54"/>
    <x v="1"/>
    <s v="Travel_Frequently"/>
    <n v="1050"/>
    <x v="1"/>
    <n v="11"/>
    <n v="4"/>
    <s v="Medical"/>
    <n v="1"/>
    <x v="1076"/>
    <n v="2"/>
    <s v="Female"/>
    <n v="87"/>
    <n v="3"/>
    <n v="4"/>
    <x v="5"/>
    <x v="0"/>
    <s v="Divorced"/>
    <n v="16032"/>
    <n v="24456"/>
    <n v="3"/>
    <s v="Y"/>
    <x v="1"/>
    <n v="20"/>
    <n v="4"/>
    <n v="1"/>
    <n v="80"/>
    <n v="1"/>
    <n v="26"/>
    <n v="2"/>
    <x v="1"/>
    <n v="14"/>
    <n v="9"/>
    <n v="1"/>
    <n v="12"/>
    <x v="3"/>
    <x v="2"/>
  </r>
  <r>
    <n v="29"/>
    <x v="0"/>
    <s v="Travel_Rarely"/>
    <n v="224"/>
    <x v="1"/>
    <n v="1"/>
    <n v="4"/>
    <s v="Technical Degree"/>
    <n v="1"/>
    <x v="1077"/>
    <n v="1"/>
    <s v="Male"/>
    <n v="100"/>
    <n v="2"/>
    <n v="1"/>
    <x v="1"/>
    <x v="3"/>
    <s v="Single"/>
    <n v="2362"/>
    <n v="7568"/>
    <n v="6"/>
    <s v="Y"/>
    <x v="1"/>
    <n v="13"/>
    <n v="3"/>
    <n v="3"/>
    <n v="80"/>
    <n v="0"/>
    <n v="11"/>
    <n v="2"/>
    <x v="0"/>
    <n v="9"/>
    <n v="7"/>
    <n v="0"/>
    <n v="7"/>
    <x v="2"/>
    <x v="1"/>
  </r>
  <r>
    <n v="44"/>
    <x v="1"/>
    <s v="Travel_Rarely"/>
    <n v="136"/>
    <x v="1"/>
    <n v="28"/>
    <n v="3"/>
    <s v="Life Sciences"/>
    <n v="1"/>
    <x v="1078"/>
    <n v="4"/>
    <s v="Male"/>
    <n v="32"/>
    <n v="3"/>
    <n v="4"/>
    <x v="7"/>
    <x v="3"/>
    <s v="Married"/>
    <n v="16328"/>
    <n v="22074"/>
    <n v="3"/>
    <s v="Y"/>
    <x v="1"/>
    <n v="13"/>
    <n v="3"/>
    <n v="3"/>
    <n v="80"/>
    <n v="1"/>
    <n v="24"/>
    <n v="1"/>
    <x v="3"/>
    <n v="20"/>
    <n v="6"/>
    <n v="14"/>
    <n v="17"/>
    <x v="0"/>
    <x v="2"/>
  </r>
  <r>
    <n v="39"/>
    <x v="1"/>
    <s v="Travel_Rarely"/>
    <n v="1089"/>
    <x v="1"/>
    <n v="6"/>
    <n v="3"/>
    <s v="Life Sciences"/>
    <n v="1"/>
    <x v="1079"/>
    <n v="2"/>
    <s v="Female"/>
    <n v="32"/>
    <n v="3"/>
    <n v="3"/>
    <x v="3"/>
    <x v="1"/>
    <s v="Single"/>
    <n v="8376"/>
    <n v="9150"/>
    <n v="4"/>
    <s v="Y"/>
    <x v="1"/>
    <n v="18"/>
    <n v="3"/>
    <n v="4"/>
    <n v="80"/>
    <n v="0"/>
    <n v="9"/>
    <n v="3"/>
    <x v="1"/>
    <n v="2"/>
    <n v="0"/>
    <n v="2"/>
    <n v="2"/>
    <x v="1"/>
    <x v="2"/>
  </r>
  <r>
    <n v="46"/>
    <x v="1"/>
    <s v="Travel_Rarely"/>
    <n v="228"/>
    <x v="0"/>
    <n v="3"/>
    <n v="3"/>
    <s v="Life Sciences"/>
    <n v="1"/>
    <x v="1080"/>
    <n v="3"/>
    <s v="Female"/>
    <n v="51"/>
    <n v="3"/>
    <n v="4"/>
    <x v="5"/>
    <x v="1"/>
    <s v="Married"/>
    <n v="16606"/>
    <n v="11380"/>
    <n v="8"/>
    <s v="Y"/>
    <x v="1"/>
    <n v="12"/>
    <n v="3"/>
    <n v="4"/>
    <n v="80"/>
    <n v="1"/>
    <n v="23"/>
    <n v="2"/>
    <x v="3"/>
    <n v="13"/>
    <n v="12"/>
    <n v="5"/>
    <n v="1"/>
    <x v="0"/>
    <x v="2"/>
  </r>
  <r>
    <n v="35"/>
    <x v="1"/>
    <s v="Travel_Rarely"/>
    <n v="1029"/>
    <x v="1"/>
    <n v="16"/>
    <n v="3"/>
    <s v="Life Sciences"/>
    <n v="1"/>
    <x v="1081"/>
    <n v="4"/>
    <s v="Female"/>
    <n v="91"/>
    <n v="2"/>
    <n v="3"/>
    <x v="4"/>
    <x v="1"/>
    <s v="Single"/>
    <n v="8606"/>
    <n v="21195"/>
    <n v="1"/>
    <s v="Y"/>
    <x v="1"/>
    <n v="19"/>
    <n v="3"/>
    <n v="4"/>
    <n v="80"/>
    <n v="0"/>
    <n v="11"/>
    <n v="3"/>
    <x v="0"/>
    <n v="11"/>
    <n v="8"/>
    <n v="3"/>
    <n v="3"/>
    <x v="1"/>
    <x v="2"/>
  </r>
  <r>
    <n v="23"/>
    <x v="1"/>
    <s v="Travel_Rarely"/>
    <n v="507"/>
    <x v="1"/>
    <n v="20"/>
    <n v="1"/>
    <s v="Life Sciences"/>
    <n v="1"/>
    <x v="1082"/>
    <n v="1"/>
    <s v="Male"/>
    <n v="97"/>
    <n v="3"/>
    <n v="2"/>
    <x v="2"/>
    <x v="2"/>
    <s v="Single"/>
    <n v="2272"/>
    <n v="24812"/>
    <n v="0"/>
    <s v="Y"/>
    <x v="1"/>
    <n v="14"/>
    <n v="3"/>
    <n v="2"/>
    <n v="80"/>
    <n v="0"/>
    <n v="5"/>
    <n v="2"/>
    <x v="1"/>
    <n v="4"/>
    <n v="3"/>
    <n v="1"/>
    <n v="2"/>
    <x v="2"/>
    <x v="1"/>
  </r>
  <r>
    <n v="40"/>
    <x v="0"/>
    <s v="Travel_Rarely"/>
    <n v="676"/>
    <x v="1"/>
    <n v="9"/>
    <n v="4"/>
    <s v="Life Sciences"/>
    <n v="1"/>
    <x v="1083"/>
    <n v="4"/>
    <s v="Male"/>
    <n v="86"/>
    <n v="3"/>
    <n v="1"/>
    <x v="2"/>
    <x v="3"/>
    <s v="Single"/>
    <n v="2018"/>
    <n v="21831"/>
    <n v="3"/>
    <s v="Y"/>
    <x v="1"/>
    <n v="14"/>
    <n v="3"/>
    <n v="2"/>
    <n v="80"/>
    <n v="0"/>
    <n v="15"/>
    <n v="3"/>
    <x v="0"/>
    <n v="5"/>
    <n v="4"/>
    <n v="1"/>
    <n v="0"/>
    <x v="1"/>
    <x v="1"/>
  </r>
  <r>
    <n v="34"/>
    <x v="1"/>
    <s v="Travel_Rarely"/>
    <n v="971"/>
    <x v="0"/>
    <n v="1"/>
    <n v="3"/>
    <s v="Technical Degree"/>
    <n v="1"/>
    <x v="1084"/>
    <n v="4"/>
    <s v="Male"/>
    <n v="64"/>
    <n v="2"/>
    <n v="3"/>
    <x v="0"/>
    <x v="2"/>
    <s v="Married"/>
    <n v="7083"/>
    <n v="12288"/>
    <n v="1"/>
    <s v="Y"/>
    <x v="0"/>
    <n v="14"/>
    <n v="3"/>
    <n v="4"/>
    <n v="80"/>
    <n v="0"/>
    <n v="10"/>
    <n v="3"/>
    <x v="1"/>
    <n v="10"/>
    <n v="9"/>
    <n v="8"/>
    <n v="6"/>
    <x v="1"/>
    <x v="2"/>
  </r>
  <r>
    <n v="31"/>
    <x v="0"/>
    <s v="Travel_Frequently"/>
    <n v="561"/>
    <x v="1"/>
    <n v="3"/>
    <n v="3"/>
    <s v="Life Sciences"/>
    <n v="1"/>
    <x v="1085"/>
    <n v="4"/>
    <s v="Female"/>
    <n v="33"/>
    <n v="3"/>
    <n v="1"/>
    <x v="1"/>
    <x v="2"/>
    <s v="Single"/>
    <n v="4084"/>
    <n v="4156"/>
    <n v="1"/>
    <s v="Y"/>
    <x v="1"/>
    <n v="12"/>
    <n v="3"/>
    <n v="1"/>
    <n v="80"/>
    <n v="0"/>
    <n v="7"/>
    <n v="2"/>
    <x v="0"/>
    <n v="7"/>
    <n v="2"/>
    <n v="7"/>
    <n v="7"/>
    <x v="1"/>
    <x v="0"/>
  </r>
  <r>
    <n v="50"/>
    <x v="1"/>
    <s v="Travel_Frequently"/>
    <n v="333"/>
    <x v="1"/>
    <n v="22"/>
    <n v="5"/>
    <s v="Medical"/>
    <n v="1"/>
    <x v="1086"/>
    <n v="3"/>
    <s v="Male"/>
    <n v="88"/>
    <n v="1"/>
    <n v="4"/>
    <x v="7"/>
    <x v="0"/>
    <s v="Single"/>
    <n v="14411"/>
    <n v="24450"/>
    <n v="1"/>
    <s v="Y"/>
    <x v="0"/>
    <n v="13"/>
    <n v="3"/>
    <n v="4"/>
    <n v="80"/>
    <n v="0"/>
    <n v="32"/>
    <n v="2"/>
    <x v="1"/>
    <n v="32"/>
    <n v="6"/>
    <n v="13"/>
    <n v="9"/>
    <x v="0"/>
    <x v="2"/>
  </r>
  <r>
    <n v="34"/>
    <x v="1"/>
    <s v="Travel_Rarely"/>
    <n v="1440"/>
    <x v="0"/>
    <n v="7"/>
    <n v="2"/>
    <s v="Technical Degree"/>
    <n v="1"/>
    <x v="1087"/>
    <n v="2"/>
    <s v="Male"/>
    <n v="55"/>
    <n v="3"/>
    <n v="1"/>
    <x v="6"/>
    <x v="2"/>
    <s v="Married"/>
    <n v="2308"/>
    <n v="4944"/>
    <n v="0"/>
    <s v="Y"/>
    <x v="0"/>
    <n v="25"/>
    <n v="4"/>
    <n v="2"/>
    <n v="80"/>
    <n v="1"/>
    <n v="12"/>
    <n v="4"/>
    <x v="1"/>
    <n v="11"/>
    <n v="10"/>
    <n v="5"/>
    <n v="7"/>
    <x v="1"/>
    <x v="1"/>
  </r>
  <r>
    <n v="42"/>
    <x v="1"/>
    <s v="Travel_Rarely"/>
    <n v="1210"/>
    <x v="1"/>
    <n v="2"/>
    <n v="3"/>
    <s v="Medical"/>
    <n v="1"/>
    <x v="1088"/>
    <n v="3"/>
    <s v="Male"/>
    <n v="68"/>
    <n v="2"/>
    <n v="1"/>
    <x v="2"/>
    <x v="1"/>
    <s v="Married"/>
    <n v="4841"/>
    <n v="24052"/>
    <n v="4"/>
    <s v="Y"/>
    <x v="1"/>
    <n v="14"/>
    <n v="3"/>
    <n v="2"/>
    <n v="80"/>
    <n v="1"/>
    <n v="4"/>
    <n v="3"/>
    <x v="1"/>
    <n v="1"/>
    <n v="0"/>
    <n v="0"/>
    <n v="0"/>
    <x v="0"/>
    <x v="0"/>
  </r>
  <r>
    <n v="37"/>
    <x v="1"/>
    <s v="Travel_Rarely"/>
    <n v="674"/>
    <x v="1"/>
    <n v="13"/>
    <n v="3"/>
    <s v="Medical"/>
    <n v="1"/>
    <x v="1089"/>
    <n v="1"/>
    <s v="Male"/>
    <n v="47"/>
    <n v="3"/>
    <n v="2"/>
    <x v="1"/>
    <x v="0"/>
    <s v="Married"/>
    <n v="4285"/>
    <n v="3031"/>
    <n v="1"/>
    <s v="Y"/>
    <x v="1"/>
    <n v="17"/>
    <n v="3"/>
    <n v="1"/>
    <n v="80"/>
    <n v="0"/>
    <n v="10"/>
    <n v="2"/>
    <x v="1"/>
    <n v="10"/>
    <n v="8"/>
    <n v="3"/>
    <n v="7"/>
    <x v="1"/>
    <x v="0"/>
  </r>
  <r>
    <n v="29"/>
    <x v="1"/>
    <s v="Travel_Rarely"/>
    <n v="441"/>
    <x v="1"/>
    <n v="8"/>
    <n v="1"/>
    <s v="Other"/>
    <n v="1"/>
    <x v="1090"/>
    <n v="3"/>
    <s v="Female"/>
    <n v="39"/>
    <n v="1"/>
    <n v="2"/>
    <x v="4"/>
    <x v="3"/>
    <s v="Married"/>
    <n v="9715"/>
    <n v="7288"/>
    <n v="3"/>
    <s v="Y"/>
    <x v="1"/>
    <n v="13"/>
    <n v="3"/>
    <n v="3"/>
    <n v="80"/>
    <n v="1"/>
    <n v="9"/>
    <n v="3"/>
    <x v="1"/>
    <n v="7"/>
    <n v="7"/>
    <n v="0"/>
    <n v="7"/>
    <x v="2"/>
    <x v="2"/>
  </r>
  <r>
    <n v="33"/>
    <x v="1"/>
    <s v="Travel_Rarely"/>
    <n v="575"/>
    <x v="1"/>
    <n v="25"/>
    <n v="3"/>
    <s v="Life Sciences"/>
    <n v="1"/>
    <x v="1091"/>
    <n v="4"/>
    <s v="Male"/>
    <n v="44"/>
    <n v="2"/>
    <n v="2"/>
    <x v="3"/>
    <x v="1"/>
    <s v="Single"/>
    <n v="4320"/>
    <n v="24152"/>
    <n v="1"/>
    <s v="Y"/>
    <x v="1"/>
    <n v="13"/>
    <n v="3"/>
    <n v="4"/>
    <n v="80"/>
    <n v="0"/>
    <n v="5"/>
    <n v="2"/>
    <x v="1"/>
    <n v="5"/>
    <n v="3"/>
    <n v="0"/>
    <n v="2"/>
    <x v="1"/>
    <x v="0"/>
  </r>
  <r>
    <n v="45"/>
    <x v="1"/>
    <s v="Travel_Rarely"/>
    <n v="950"/>
    <x v="1"/>
    <n v="28"/>
    <n v="3"/>
    <s v="Technical Degree"/>
    <n v="1"/>
    <x v="1092"/>
    <n v="4"/>
    <s v="Male"/>
    <n v="97"/>
    <n v="3"/>
    <n v="1"/>
    <x v="1"/>
    <x v="0"/>
    <s v="Married"/>
    <n v="2132"/>
    <n v="4585"/>
    <n v="4"/>
    <s v="Y"/>
    <x v="1"/>
    <n v="20"/>
    <n v="4"/>
    <n v="4"/>
    <n v="80"/>
    <n v="1"/>
    <n v="8"/>
    <n v="3"/>
    <x v="1"/>
    <n v="5"/>
    <n v="4"/>
    <n v="0"/>
    <n v="3"/>
    <x v="0"/>
    <x v="1"/>
  </r>
  <r>
    <n v="42"/>
    <x v="1"/>
    <s v="Travel_Frequently"/>
    <n v="288"/>
    <x v="1"/>
    <n v="2"/>
    <n v="3"/>
    <s v="Life Sciences"/>
    <n v="1"/>
    <x v="1093"/>
    <n v="4"/>
    <s v="Male"/>
    <n v="40"/>
    <n v="3"/>
    <n v="3"/>
    <x v="4"/>
    <x v="0"/>
    <s v="Married"/>
    <n v="10124"/>
    <n v="18611"/>
    <n v="2"/>
    <s v="Y"/>
    <x v="0"/>
    <n v="14"/>
    <n v="3"/>
    <n v="3"/>
    <n v="80"/>
    <n v="1"/>
    <n v="24"/>
    <n v="3"/>
    <x v="0"/>
    <n v="20"/>
    <n v="8"/>
    <n v="13"/>
    <n v="9"/>
    <x v="0"/>
    <x v="2"/>
  </r>
  <r>
    <n v="40"/>
    <x v="1"/>
    <s v="Travel_Rarely"/>
    <n v="1342"/>
    <x v="0"/>
    <n v="9"/>
    <n v="2"/>
    <s v="Medical"/>
    <n v="1"/>
    <x v="1094"/>
    <n v="1"/>
    <s v="Male"/>
    <n v="47"/>
    <n v="3"/>
    <n v="2"/>
    <x v="0"/>
    <x v="3"/>
    <s v="Married"/>
    <n v="5473"/>
    <n v="19345"/>
    <n v="0"/>
    <s v="Y"/>
    <x v="1"/>
    <n v="12"/>
    <n v="3"/>
    <n v="4"/>
    <n v="80"/>
    <n v="0"/>
    <n v="9"/>
    <n v="5"/>
    <x v="3"/>
    <n v="8"/>
    <n v="4"/>
    <n v="7"/>
    <n v="1"/>
    <x v="1"/>
    <x v="0"/>
  </r>
  <r>
    <n v="33"/>
    <x v="1"/>
    <s v="Travel_Rarely"/>
    <n v="589"/>
    <x v="1"/>
    <n v="28"/>
    <n v="4"/>
    <s v="Life Sciences"/>
    <n v="1"/>
    <x v="1095"/>
    <n v="2"/>
    <s v="Male"/>
    <n v="79"/>
    <n v="3"/>
    <n v="2"/>
    <x v="2"/>
    <x v="2"/>
    <s v="Married"/>
    <n v="5207"/>
    <n v="22949"/>
    <n v="1"/>
    <s v="Y"/>
    <x v="0"/>
    <n v="12"/>
    <n v="3"/>
    <n v="2"/>
    <n v="80"/>
    <n v="1"/>
    <n v="15"/>
    <n v="3"/>
    <x v="1"/>
    <n v="15"/>
    <n v="14"/>
    <n v="5"/>
    <n v="7"/>
    <x v="1"/>
    <x v="0"/>
  </r>
  <r>
    <n v="40"/>
    <x v="1"/>
    <s v="Travel_Rarely"/>
    <n v="898"/>
    <x v="2"/>
    <n v="6"/>
    <n v="2"/>
    <s v="Medical"/>
    <n v="1"/>
    <x v="1096"/>
    <n v="3"/>
    <s v="Male"/>
    <n v="38"/>
    <n v="3"/>
    <n v="4"/>
    <x v="5"/>
    <x v="0"/>
    <s v="Single"/>
    <n v="16437"/>
    <n v="17381"/>
    <n v="1"/>
    <s v="Y"/>
    <x v="0"/>
    <n v="21"/>
    <n v="4"/>
    <n v="4"/>
    <n v="80"/>
    <n v="0"/>
    <n v="21"/>
    <n v="2"/>
    <x v="1"/>
    <n v="21"/>
    <n v="7"/>
    <n v="7"/>
    <n v="7"/>
    <x v="1"/>
    <x v="2"/>
  </r>
  <r>
    <n v="24"/>
    <x v="1"/>
    <s v="Travel_Rarely"/>
    <n v="350"/>
    <x v="1"/>
    <n v="21"/>
    <n v="2"/>
    <s v="Technical Degree"/>
    <n v="1"/>
    <x v="1097"/>
    <n v="3"/>
    <s v="Male"/>
    <n v="57"/>
    <n v="2"/>
    <n v="1"/>
    <x v="2"/>
    <x v="3"/>
    <s v="Divorced"/>
    <n v="2296"/>
    <n v="10036"/>
    <n v="0"/>
    <s v="Y"/>
    <x v="1"/>
    <n v="14"/>
    <n v="3"/>
    <n v="2"/>
    <n v="80"/>
    <n v="3"/>
    <n v="2"/>
    <n v="3"/>
    <x v="1"/>
    <n v="1"/>
    <n v="1"/>
    <n v="0"/>
    <n v="0"/>
    <x v="2"/>
    <x v="1"/>
  </r>
  <r>
    <n v="40"/>
    <x v="1"/>
    <s v="Non-Travel"/>
    <n v="1142"/>
    <x v="1"/>
    <n v="8"/>
    <n v="2"/>
    <s v="Life Sciences"/>
    <n v="1"/>
    <x v="1098"/>
    <n v="4"/>
    <s v="Male"/>
    <n v="72"/>
    <n v="3"/>
    <n v="2"/>
    <x v="4"/>
    <x v="0"/>
    <s v="Divorced"/>
    <n v="4069"/>
    <n v="8841"/>
    <n v="3"/>
    <s v="Y"/>
    <x v="0"/>
    <n v="18"/>
    <n v="3"/>
    <n v="3"/>
    <n v="80"/>
    <n v="0"/>
    <n v="8"/>
    <n v="2"/>
    <x v="1"/>
    <n v="2"/>
    <n v="2"/>
    <n v="2"/>
    <n v="2"/>
    <x v="1"/>
    <x v="0"/>
  </r>
  <r>
    <n v="45"/>
    <x v="1"/>
    <s v="Travel_Rarely"/>
    <n v="538"/>
    <x v="1"/>
    <n v="1"/>
    <n v="4"/>
    <s v="Technical Degree"/>
    <n v="1"/>
    <x v="1099"/>
    <n v="1"/>
    <s v="Male"/>
    <n v="66"/>
    <n v="3"/>
    <n v="3"/>
    <x v="4"/>
    <x v="1"/>
    <s v="Divorced"/>
    <n v="7441"/>
    <n v="20933"/>
    <n v="1"/>
    <s v="Y"/>
    <x v="1"/>
    <n v="12"/>
    <n v="3"/>
    <n v="1"/>
    <n v="80"/>
    <n v="3"/>
    <n v="10"/>
    <n v="4"/>
    <x v="1"/>
    <n v="10"/>
    <n v="8"/>
    <n v="7"/>
    <n v="7"/>
    <x v="0"/>
    <x v="2"/>
  </r>
  <r>
    <n v="35"/>
    <x v="1"/>
    <s v="Travel_Rarely"/>
    <n v="1402"/>
    <x v="0"/>
    <n v="28"/>
    <n v="4"/>
    <s v="Life Sciences"/>
    <n v="1"/>
    <x v="1100"/>
    <n v="2"/>
    <s v="Female"/>
    <n v="98"/>
    <n v="2"/>
    <n v="1"/>
    <x v="6"/>
    <x v="2"/>
    <s v="Married"/>
    <n v="2430"/>
    <n v="26204"/>
    <n v="0"/>
    <s v="Y"/>
    <x v="1"/>
    <n v="23"/>
    <n v="4"/>
    <n v="1"/>
    <n v="80"/>
    <n v="2"/>
    <n v="6"/>
    <n v="5"/>
    <x v="1"/>
    <n v="5"/>
    <n v="3"/>
    <n v="4"/>
    <n v="2"/>
    <x v="1"/>
    <x v="1"/>
  </r>
  <r>
    <n v="32"/>
    <x v="1"/>
    <s v="Travel_Rarely"/>
    <n v="824"/>
    <x v="1"/>
    <n v="5"/>
    <n v="2"/>
    <s v="Life Sciences"/>
    <n v="1"/>
    <x v="1101"/>
    <n v="4"/>
    <s v="Female"/>
    <n v="67"/>
    <n v="2"/>
    <n v="2"/>
    <x v="1"/>
    <x v="1"/>
    <s v="Married"/>
    <n v="5878"/>
    <n v="15624"/>
    <n v="3"/>
    <s v="Y"/>
    <x v="1"/>
    <n v="12"/>
    <n v="3"/>
    <n v="1"/>
    <n v="80"/>
    <n v="1"/>
    <n v="12"/>
    <n v="2"/>
    <x v="1"/>
    <n v="7"/>
    <n v="1"/>
    <n v="2"/>
    <n v="5"/>
    <x v="1"/>
    <x v="0"/>
  </r>
  <r>
    <n v="36"/>
    <x v="1"/>
    <s v="Travel_Rarely"/>
    <n v="1157"/>
    <x v="0"/>
    <n v="2"/>
    <n v="4"/>
    <s v="Life Sciences"/>
    <n v="1"/>
    <x v="1102"/>
    <n v="3"/>
    <s v="Male"/>
    <n v="70"/>
    <n v="3"/>
    <n v="1"/>
    <x v="6"/>
    <x v="0"/>
    <s v="Single"/>
    <n v="2644"/>
    <n v="17001"/>
    <n v="3"/>
    <s v="Y"/>
    <x v="0"/>
    <n v="21"/>
    <n v="4"/>
    <n v="4"/>
    <n v="80"/>
    <n v="0"/>
    <n v="7"/>
    <n v="3"/>
    <x v="2"/>
    <n v="3"/>
    <n v="2"/>
    <n v="1"/>
    <n v="2"/>
    <x v="1"/>
    <x v="1"/>
  </r>
  <r>
    <n v="48"/>
    <x v="1"/>
    <s v="Travel_Rarely"/>
    <n v="492"/>
    <x v="0"/>
    <n v="16"/>
    <n v="4"/>
    <s v="Life Sciences"/>
    <n v="1"/>
    <x v="1103"/>
    <n v="3"/>
    <s v="Female"/>
    <n v="96"/>
    <n v="3"/>
    <n v="2"/>
    <x v="0"/>
    <x v="2"/>
    <s v="Divorced"/>
    <n v="6439"/>
    <n v="13693"/>
    <n v="8"/>
    <s v="Y"/>
    <x v="1"/>
    <n v="14"/>
    <n v="3"/>
    <n v="3"/>
    <n v="80"/>
    <n v="1"/>
    <n v="18"/>
    <n v="2"/>
    <x v="1"/>
    <n v="8"/>
    <n v="7"/>
    <n v="7"/>
    <n v="7"/>
    <x v="0"/>
    <x v="0"/>
  </r>
  <r>
    <n v="29"/>
    <x v="1"/>
    <s v="Travel_Rarely"/>
    <n v="598"/>
    <x v="1"/>
    <n v="9"/>
    <n v="3"/>
    <s v="Life Sciences"/>
    <n v="1"/>
    <x v="1104"/>
    <n v="3"/>
    <s v="Male"/>
    <n v="91"/>
    <n v="4"/>
    <n v="1"/>
    <x v="1"/>
    <x v="2"/>
    <s v="Married"/>
    <n v="2451"/>
    <n v="22376"/>
    <n v="6"/>
    <s v="Y"/>
    <x v="1"/>
    <n v="18"/>
    <n v="3"/>
    <n v="1"/>
    <n v="80"/>
    <n v="2"/>
    <n v="5"/>
    <n v="2"/>
    <x v="2"/>
    <n v="1"/>
    <n v="0"/>
    <n v="0"/>
    <n v="0"/>
    <x v="2"/>
    <x v="1"/>
  </r>
  <r>
    <n v="33"/>
    <x v="1"/>
    <s v="Travel_Rarely"/>
    <n v="1242"/>
    <x v="0"/>
    <n v="8"/>
    <n v="4"/>
    <s v="Life Sciences"/>
    <n v="1"/>
    <x v="1105"/>
    <n v="1"/>
    <s v="Male"/>
    <n v="46"/>
    <n v="3"/>
    <n v="2"/>
    <x v="0"/>
    <x v="3"/>
    <s v="Married"/>
    <n v="6392"/>
    <n v="10589"/>
    <n v="2"/>
    <s v="Y"/>
    <x v="1"/>
    <n v="13"/>
    <n v="3"/>
    <n v="4"/>
    <n v="80"/>
    <n v="1"/>
    <n v="8"/>
    <n v="6"/>
    <x v="0"/>
    <n v="2"/>
    <n v="2"/>
    <n v="2"/>
    <n v="2"/>
    <x v="1"/>
    <x v="0"/>
  </r>
  <r>
    <n v="30"/>
    <x v="0"/>
    <s v="Travel_Rarely"/>
    <n v="740"/>
    <x v="0"/>
    <n v="1"/>
    <n v="3"/>
    <s v="Life Sciences"/>
    <n v="1"/>
    <x v="1106"/>
    <n v="2"/>
    <s v="Male"/>
    <n v="64"/>
    <n v="2"/>
    <n v="2"/>
    <x v="0"/>
    <x v="3"/>
    <s v="Married"/>
    <n v="9714"/>
    <n v="5323"/>
    <n v="1"/>
    <s v="Y"/>
    <x v="1"/>
    <n v="11"/>
    <n v="3"/>
    <n v="4"/>
    <n v="80"/>
    <n v="1"/>
    <n v="10"/>
    <n v="4"/>
    <x v="1"/>
    <n v="10"/>
    <n v="8"/>
    <n v="6"/>
    <n v="7"/>
    <x v="1"/>
    <x v="2"/>
  </r>
  <r>
    <n v="38"/>
    <x v="1"/>
    <s v="Travel_Frequently"/>
    <n v="888"/>
    <x v="2"/>
    <n v="10"/>
    <n v="4"/>
    <s v="Human Resources"/>
    <n v="1"/>
    <x v="1107"/>
    <n v="3"/>
    <s v="Male"/>
    <n v="71"/>
    <n v="3"/>
    <n v="2"/>
    <x v="8"/>
    <x v="2"/>
    <s v="Married"/>
    <n v="6077"/>
    <n v="14814"/>
    <n v="3"/>
    <s v="Y"/>
    <x v="1"/>
    <n v="11"/>
    <n v="3"/>
    <n v="3"/>
    <n v="80"/>
    <n v="0"/>
    <n v="10"/>
    <n v="2"/>
    <x v="1"/>
    <n v="6"/>
    <n v="3"/>
    <n v="1"/>
    <n v="2"/>
    <x v="1"/>
    <x v="0"/>
  </r>
  <r>
    <n v="35"/>
    <x v="1"/>
    <s v="Travel_Rarely"/>
    <n v="992"/>
    <x v="1"/>
    <n v="1"/>
    <n v="3"/>
    <s v="Medical"/>
    <n v="1"/>
    <x v="1108"/>
    <n v="4"/>
    <s v="Male"/>
    <n v="68"/>
    <n v="2"/>
    <n v="1"/>
    <x v="2"/>
    <x v="3"/>
    <s v="Single"/>
    <n v="2450"/>
    <n v="21731"/>
    <n v="1"/>
    <s v="Y"/>
    <x v="1"/>
    <n v="19"/>
    <n v="3"/>
    <n v="2"/>
    <n v="80"/>
    <n v="0"/>
    <n v="3"/>
    <n v="3"/>
    <x v="1"/>
    <n v="3"/>
    <n v="0"/>
    <n v="1"/>
    <n v="2"/>
    <x v="1"/>
    <x v="1"/>
  </r>
  <r>
    <n v="30"/>
    <x v="1"/>
    <s v="Travel_Rarely"/>
    <n v="1288"/>
    <x v="0"/>
    <n v="29"/>
    <n v="4"/>
    <s v="Technical Degree"/>
    <n v="1"/>
    <x v="1109"/>
    <n v="3"/>
    <s v="Male"/>
    <n v="33"/>
    <n v="3"/>
    <n v="3"/>
    <x v="0"/>
    <x v="1"/>
    <s v="Married"/>
    <n v="9250"/>
    <n v="17799"/>
    <n v="3"/>
    <s v="Y"/>
    <x v="1"/>
    <n v="12"/>
    <n v="3"/>
    <n v="2"/>
    <n v="80"/>
    <n v="1"/>
    <n v="9"/>
    <n v="3"/>
    <x v="1"/>
    <n v="4"/>
    <n v="2"/>
    <n v="1"/>
    <n v="3"/>
    <x v="1"/>
    <x v="2"/>
  </r>
  <r>
    <n v="35"/>
    <x v="0"/>
    <s v="Travel_Rarely"/>
    <n v="104"/>
    <x v="1"/>
    <n v="2"/>
    <n v="3"/>
    <s v="Life Sciences"/>
    <n v="1"/>
    <x v="1110"/>
    <n v="1"/>
    <s v="Female"/>
    <n v="69"/>
    <n v="3"/>
    <n v="1"/>
    <x v="2"/>
    <x v="3"/>
    <s v="Divorced"/>
    <n v="2074"/>
    <n v="26619"/>
    <n v="1"/>
    <s v="Y"/>
    <x v="0"/>
    <n v="12"/>
    <n v="3"/>
    <n v="4"/>
    <n v="80"/>
    <n v="1"/>
    <n v="1"/>
    <n v="2"/>
    <x v="1"/>
    <n v="1"/>
    <n v="0"/>
    <n v="0"/>
    <n v="0"/>
    <x v="1"/>
    <x v="1"/>
  </r>
  <r>
    <n v="53"/>
    <x v="0"/>
    <s v="Travel_Rarely"/>
    <n v="607"/>
    <x v="1"/>
    <n v="2"/>
    <n v="5"/>
    <s v="Technical Degree"/>
    <n v="1"/>
    <x v="1111"/>
    <n v="3"/>
    <s v="Female"/>
    <n v="78"/>
    <n v="2"/>
    <n v="3"/>
    <x v="3"/>
    <x v="0"/>
    <s v="Married"/>
    <n v="10169"/>
    <n v="14618"/>
    <n v="0"/>
    <s v="Y"/>
    <x v="1"/>
    <n v="16"/>
    <n v="3"/>
    <n v="2"/>
    <n v="80"/>
    <n v="1"/>
    <n v="34"/>
    <n v="4"/>
    <x v="1"/>
    <n v="33"/>
    <n v="7"/>
    <n v="1"/>
    <n v="9"/>
    <x v="3"/>
    <x v="2"/>
  </r>
  <r>
    <n v="38"/>
    <x v="0"/>
    <s v="Travel_Rarely"/>
    <n v="903"/>
    <x v="1"/>
    <n v="2"/>
    <n v="3"/>
    <s v="Medical"/>
    <n v="1"/>
    <x v="1112"/>
    <n v="3"/>
    <s v="Male"/>
    <n v="81"/>
    <n v="3"/>
    <n v="2"/>
    <x v="3"/>
    <x v="1"/>
    <s v="Married"/>
    <n v="4855"/>
    <n v="7653"/>
    <n v="4"/>
    <s v="Y"/>
    <x v="1"/>
    <n v="11"/>
    <n v="3"/>
    <n v="1"/>
    <n v="80"/>
    <n v="2"/>
    <n v="7"/>
    <n v="2"/>
    <x v="1"/>
    <n v="5"/>
    <n v="2"/>
    <n v="1"/>
    <n v="4"/>
    <x v="1"/>
    <x v="0"/>
  </r>
  <r>
    <n v="32"/>
    <x v="1"/>
    <s v="Non-Travel"/>
    <n v="1200"/>
    <x v="1"/>
    <n v="1"/>
    <n v="4"/>
    <s v="Technical Degree"/>
    <n v="1"/>
    <x v="1113"/>
    <n v="4"/>
    <s v="Male"/>
    <n v="62"/>
    <n v="3"/>
    <n v="2"/>
    <x v="1"/>
    <x v="3"/>
    <s v="Married"/>
    <n v="4087"/>
    <n v="25174"/>
    <n v="4"/>
    <s v="Y"/>
    <x v="1"/>
    <n v="14"/>
    <n v="3"/>
    <n v="2"/>
    <n v="80"/>
    <n v="1"/>
    <n v="9"/>
    <n v="3"/>
    <x v="2"/>
    <n v="6"/>
    <n v="5"/>
    <n v="1"/>
    <n v="2"/>
    <x v="1"/>
    <x v="0"/>
  </r>
  <r>
    <n v="48"/>
    <x v="1"/>
    <s v="Travel_Rarely"/>
    <n v="1108"/>
    <x v="1"/>
    <n v="15"/>
    <n v="4"/>
    <s v="Other"/>
    <n v="1"/>
    <x v="1114"/>
    <n v="3"/>
    <s v="Female"/>
    <n v="65"/>
    <n v="3"/>
    <n v="1"/>
    <x v="1"/>
    <x v="3"/>
    <s v="Married"/>
    <n v="2367"/>
    <n v="16530"/>
    <n v="8"/>
    <s v="Y"/>
    <x v="1"/>
    <n v="12"/>
    <n v="3"/>
    <n v="4"/>
    <n v="80"/>
    <n v="1"/>
    <n v="10"/>
    <n v="3"/>
    <x v="2"/>
    <n v="8"/>
    <n v="2"/>
    <n v="7"/>
    <n v="6"/>
    <x v="0"/>
    <x v="1"/>
  </r>
  <r>
    <n v="34"/>
    <x v="1"/>
    <s v="Travel_Rarely"/>
    <n v="479"/>
    <x v="1"/>
    <n v="7"/>
    <n v="4"/>
    <s v="Medical"/>
    <n v="1"/>
    <x v="1115"/>
    <n v="1"/>
    <s v="Male"/>
    <n v="35"/>
    <n v="3"/>
    <n v="1"/>
    <x v="1"/>
    <x v="0"/>
    <s v="Single"/>
    <n v="2972"/>
    <n v="22061"/>
    <n v="1"/>
    <s v="Y"/>
    <x v="1"/>
    <n v="13"/>
    <n v="3"/>
    <n v="3"/>
    <n v="80"/>
    <n v="0"/>
    <n v="1"/>
    <n v="4"/>
    <x v="0"/>
    <n v="1"/>
    <n v="0"/>
    <n v="0"/>
    <n v="0"/>
    <x v="1"/>
    <x v="1"/>
  </r>
  <r>
    <n v="55"/>
    <x v="1"/>
    <s v="Travel_Rarely"/>
    <n v="685"/>
    <x v="0"/>
    <n v="26"/>
    <n v="5"/>
    <s v="Marketing"/>
    <n v="1"/>
    <x v="1116"/>
    <n v="3"/>
    <s v="Male"/>
    <n v="60"/>
    <n v="2"/>
    <n v="5"/>
    <x v="5"/>
    <x v="0"/>
    <s v="Married"/>
    <n v="19586"/>
    <n v="23037"/>
    <n v="1"/>
    <s v="Y"/>
    <x v="1"/>
    <n v="21"/>
    <n v="4"/>
    <n v="3"/>
    <n v="80"/>
    <n v="1"/>
    <n v="36"/>
    <n v="3"/>
    <x v="1"/>
    <n v="36"/>
    <n v="6"/>
    <n v="2"/>
    <n v="13"/>
    <x v="3"/>
    <x v="2"/>
  </r>
  <r>
    <n v="34"/>
    <x v="1"/>
    <s v="Travel_Rarely"/>
    <n v="1351"/>
    <x v="1"/>
    <n v="1"/>
    <n v="4"/>
    <s v="Life Sciences"/>
    <n v="1"/>
    <x v="1117"/>
    <n v="2"/>
    <s v="Male"/>
    <n v="45"/>
    <n v="3"/>
    <n v="2"/>
    <x v="1"/>
    <x v="0"/>
    <s v="Married"/>
    <n v="5484"/>
    <n v="13008"/>
    <n v="9"/>
    <s v="Y"/>
    <x v="1"/>
    <n v="17"/>
    <n v="3"/>
    <n v="2"/>
    <n v="80"/>
    <n v="1"/>
    <n v="9"/>
    <n v="3"/>
    <x v="2"/>
    <n v="2"/>
    <n v="2"/>
    <n v="2"/>
    <n v="1"/>
    <x v="1"/>
    <x v="0"/>
  </r>
  <r>
    <n v="26"/>
    <x v="1"/>
    <s v="Travel_Rarely"/>
    <n v="474"/>
    <x v="1"/>
    <n v="3"/>
    <n v="3"/>
    <s v="Life Sciences"/>
    <n v="1"/>
    <x v="1118"/>
    <n v="1"/>
    <s v="Female"/>
    <n v="89"/>
    <n v="3"/>
    <n v="1"/>
    <x v="1"/>
    <x v="0"/>
    <s v="Married"/>
    <n v="2061"/>
    <n v="11133"/>
    <n v="1"/>
    <s v="Y"/>
    <x v="1"/>
    <n v="21"/>
    <n v="4"/>
    <n v="1"/>
    <n v="80"/>
    <n v="0"/>
    <n v="1"/>
    <n v="5"/>
    <x v="1"/>
    <n v="1"/>
    <n v="0"/>
    <n v="0"/>
    <n v="0"/>
    <x v="2"/>
    <x v="1"/>
  </r>
  <r>
    <n v="38"/>
    <x v="1"/>
    <s v="Travel_Rarely"/>
    <n v="1245"/>
    <x v="0"/>
    <n v="14"/>
    <n v="3"/>
    <s v="Life Sciences"/>
    <n v="1"/>
    <x v="1119"/>
    <n v="3"/>
    <s v="Male"/>
    <n v="80"/>
    <n v="3"/>
    <n v="2"/>
    <x v="0"/>
    <x v="1"/>
    <s v="Married"/>
    <n v="9924"/>
    <n v="12355"/>
    <n v="0"/>
    <s v="Y"/>
    <x v="1"/>
    <n v="11"/>
    <n v="3"/>
    <n v="4"/>
    <n v="80"/>
    <n v="1"/>
    <n v="10"/>
    <n v="3"/>
    <x v="1"/>
    <n v="9"/>
    <n v="8"/>
    <n v="7"/>
    <n v="7"/>
    <x v="1"/>
    <x v="2"/>
  </r>
  <r>
    <n v="38"/>
    <x v="1"/>
    <s v="Travel_Rarely"/>
    <n v="437"/>
    <x v="0"/>
    <n v="16"/>
    <n v="3"/>
    <s v="Life Sciences"/>
    <n v="1"/>
    <x v="1120"/>
    <n v="2"/>
    <s v="Female"/>
    <n v="90"/>
    <n v="3"/>
    <n v="2"/>
    <x v="0"/>
    <x v="1"/>
    <s v="Single"/>
    <n v="4198"/>
    <n v="16379"/>
    <n v="2"/>
    <s v="Y"/>
    <x v="1"/>
    <n v="12"/>
    <n v="3"/>
    <n v="2"/>
    <n v="80"/>
    <n v="0"/>
    <n v="8"/>
    <n v="5"/>
    <x v="3"/>
    <n v="3"/>
    <n v="2"/>
    <n v="1"/>
    <n v="2"/>
    <x v="1"/>
    <x v="0"/>
  </r>
  <r>
    <n v="36"/>
    <x v="1"/>
    <s v="Travel_Rarely"/>
    <n v="884"/>
    <x v="0"/>
    <n v="1"/>
    <n v="4"/>
    <s v="Life Sciences"/>
    <n v="1"/>
    <x v="1121"/>
    <n v="2"/>
    <s v="Female"/>
    <n v="73"/>
    <n v="3"/>
    <n v="2"/>
    <x v="0"/>
    <x v="2"/>
    <s v="Single"/>
    <n v="6815"/>
    <n v="21447"/>
    <n v="6"/>
    <s v="Y"/>
    <x v="1"/>
    <n v="13"/>
    <n v="3"/>
    <n v="1"/>
    <n v="80"/>
    <n v="0"/>
    <n v="15"/>
    <n v="5"/>
    <x v="1"/>
    <n v="1"/>
    <n v="0"/>
    <n v="0"/>
    <n v="0"/>
    <x v="1"/>
    <x v="0"/>
  </r>
  <r>
    <n v="29"/>
    <x v="1"/>
    <s v="Travel_Rarely"/>
    <n v="1370"/>
    <x v="1"/>
    <n v="3"/>
    <n v="1"/>
    <s v="Medical"/>
    <n v="1"/>
    <x v="1122"/>
    <n v="2"/>
    <s v="Male"/>
    <n v="87"/>
    <n v="3"/>
    <n v="1"/>
    <x v="2"/>
    <x v="3"/>
    <s v="Single"/>
    <n v="4723"/>
    <n v="16213"/>
    <n v="1"/>
    <s v="Y"/>
    <x v="0"/>
    <n v="18"/>
    <n v="3"/>
    <n v="4"/>
    <n v="80"/>
    <n v="0"/>
    <n v="10"/>
    <n v="3"/>
    <x v="1"/>
    <n v="10"/>
    <n v="9"/>
    <n v="1"/>
    <n v="5"/>
    <x v="2"/>
    <x v="0"/>
  </r>
  <r>
    <n v="35"/>
    <x v="1"/>
    <s v="Travel_Rarely"/>
    <n v="670"/>
    <x v="1"/>
    <n v="10"/>
    <n v="4"/>
    <s v="Medical"/>
    <n v="1"/>
    <x v="1123"/>
    <n v="1"/>
    <s v="Female"/>
    <n v="51"/>
    <n v="3"/>
    <n v="2"/>
    <x v="4"/>
    <x v="2"/>
    <s v="Single"/>
    <n v="6142"/>
    <n v="4223"/>
    <n v="3"/>
    <s v="Y"/>
    <x v="0"/>
    <n v="16"/>
    <n v="3"/>
    <n v="3"/>
    <n v="80"/>
    <n v="0"/>
    <n v="10"/>
    <n v="4"/>
    <x v="1"/>
    <n v="5"/>
    <n v="2"/>
    <n v="0"/>
    <n v="4"/>
    <x v="1"/>
    <x v="0"/>
  </r>
  <r>
    <n v="39"/>
    <x v="1"/>
    <s v="Travel_Rarely"/>
    <n v="1462"/>
    <x v="0"/>
    <n v="6"/>
    <n v="3"/>
    <s v="Medical"/>
    <n v="1"/>
    <x v="1124"/>
    <n v="4"/>
    <s v="Male"/>
    <n v="38"/>
    <n v="4"/>
    <n v="3"/>
    <x v="0"/>
    <x v="2"/>
    <s v="Married"/>
    <n v="8237"/>
    <n v="4658"/>
    <n v="2"/>
    <s v="Y"/>
    <x v="1"/>
    <n v="11"/>
    <n v="3"/>
    <n v="1"/>
    <n v="80"/>
    <n v="1"/>
    <n v="11"/>
    <n v="3"/>
    <x v="1"/>
    <n v="7"/>
    <n v="6"/>
    <n v="7"/>
    <n v="6"/>
    <x v="1"/>
    <x v="2"/>
  </r>
  <r>
    <n v="29"/>
    <x v="1"/>
    <s v="Travel_Frequently"/>
    <n v="995"/>
    <x v="1"/>
    <n v="2"/>
    <n v="1"/>
    <s v="Life Sciences"/>
    <n v="1"/>
    <x v="1125"/>
    <n v="1"/>
    <s v="Male"/>
    <n v="87"/>
    <n v="3"/>
    <n v="2"/>
    <x v="4"/>
    <x v="0"/>
    <s v="Divorced"/>
    <n v="8853"/>
    <n v="24483"/>
    <n v="1"/>
    <s v="Y"/>
    <x v="1"/>
    <n v="19"/>
    <n v="3"/>
    <n v="4"/>
    <n v="80"/>
    <n v="1"/>
    <n v="6"/>
    <n v="0"/>
    <x v="3"/>
    <n v="6"/>
    <n v="4"/>
    <n v="1"/>
    <n v="3"/>
    <x v="2"/>
    <x v="2"/>
  </r>
  <r>
    <n v="50"/>
    <x v="1"/>
    <s v="Travel_Rarely"/>
    <n v="264"/>
    <x v="0"/>
    <n v="9"/>
    <n v="3"/>
    <s v="Marketing"/>
    <n v="1"/>
    <x v="1126"/>
    <n v="3"/>
    <s v="Male"/>
    <n v="59"/>
    <n v="3"/>
    <n v="5"/>
    <x v="5"/>
    <x v="2"/>
    <s v="Married"/>
    <n v="19331"/>
    <n v="19519"/>
    <n v="4"/>
    <s v="Y"/>
    <x v="0"/>
    <n v="16"/>
    <n v="3"/>
    <n v="3"/>
    <n v="80"/>
    <n v="1"/>
    <n v="27"/>
    <n v="2"/>
    <x v="1"/>
    <n v="1"/>
    <n v="0"/>
    <n v="0"/>
    <n v="0"/>
    <x v="0"/>
    <x v="2"/>
  </r>
  <r>
    <n v="23"/>
    <x v="1"/>
    <s v="Travel_Rarely"/>
    <n v="977"/>
    <x v="1"/>
    <n v="10"/>
    <n v="3"/>
    <s v="Technical Degree"/>
    <n v="1"/>
    <x v="1127"/>
    <n v="4"/>
    <s v="Male"/>
    <n v="45"/>
    <n v="4"/>
    <n v="1"/>
    <x v="1"/>
    <x v="2"/>
    <s v="Married"/>
    <n v="2073"/>
    <n v="12826"/>
    <n v="2"/>
    <s v="Y"/>
    <x v="1"/>
    <n v="16"/>
    <n v="3"/>
    <n v="4"/>
    <n v="80"/>
    <n v="1"/>
    <n v="4"/>
    <n v="2"/>
    <x v="1"/>
    <n v="2"/>
    <n v="2"/>
    <n v="2"/>
    <n v="2"/>
    <x v="2"/>
    <x v="1"/>
  </r>
  <r>
    <n v="36"/>
    <x v="1"/>
    <s v="Travel_Frequently"/>
    <n v="1302"/>
    <x v="1"/>
    <n v="6"/>
    <n v="4"/>
    <s v="Life Sciences"/>
    <n v="1"/>
    <x v="1128"/>
    <n v="1"/>
    <s v="Male"/>
    <n v="80"/>
    <n v="4"/>
    <n v="2"/>
    <x v="2"/>
    <x v="3"/>
    <s v="Married"/>
    <n v="5562"/>
    <n v="19711"/>
    <n v="3"/>
    <s v="Y"/>
    <x v="0"/>
    <n v="13"/>
    <n v="3"/>
    <n v="4"/>
    <n v="80"/>
    <n v="1"/>
    <n v="9"/>
    <n v="3"/>
    <x v="1"/>
    <n v="3"/>
    <n v="2"/>
    <n v="0"/>
    <n v="2"/>
    <x v="1"/>
    <x v="0"/>
  </r>
  <r>
    <n v="42"/>
    <x v="1"/>
    <s v="Travel_Rarely"/>
    <n v="1059"/>
    <x v="1"/>
    <n v="9"/>
    <n v="2"/>
    <s v="Other"/>
    <n v="1"/>
    <x v="1129"/>
    <n v="4"/>
    <s v="Male"/>
    <n v="93"/>
    <n v="2"/>
    <n v="5"/>
    <x v="5"/>
    <x v="0"/>
    <s v="Single"/>
    <n v="19613"/>
    <n v="26362"/>
    <n v="8"/>
    <s v="Y"/>
    <x v="1"/>
    <n v="22"/>
    <n v="4"/>
    <n v="4"/>
    <n v="80"/>
    <n v="0"/>
    <n v="24"/>
    <n v="2"/>
    <x v="1"/>
    <n v="1"/>
    <n v="0"/>
    <n v="0"/>
    <n v="1"/>
    <x v="0"/>
    <x v="2"/>
  </r>
  <r>
    <n v="35"/>
    <x v="1"/>
    <s v="Travel_Rarely"/>
    <n v="750"/>
    <x v="1"/>
    <n v="28"/>
    <n v="3"/>
    <s v="Life Sciences"/>
    <n v="1"/>
    <x v="1130"/>
    <n v="2"/>
    <s v="Male"/>
    <n v="46"/>
    <n v="4"/>
    <n v="2"/>
    <x v="2"/>
    <x v="2"/>
    <s v="Married"/>
    <n v="3407"/>
    <n v="25348"/>
    <n v="1"/>
    <s v="Y"/>
    <x v="1"/>
    <n v="17"/>
    <n v="3"/>
    <n v="4"/>
    <n v="80"/>
    <n v="2"/>
    <n v="10"/>
    <n v="3"/>
    <x v="2"/>
    <n v="10"/>
    <n v="9"/>
    <n v="6"/>
    <n v="8"/>
    <x v="1"/>
    <x v="1"/>
  </r>
  <r>
    <n v="34"/>
    <x v="1"/>
    <s v="Travel_Frequently"/>
    <n v="653"/>
    <x v="1"/>
    <n v="10"/>
    <n v="4"/>
    <s v="Technical Degree"/>
    <n v="1"/>
    <x v="1131"/>
    <n v="4"/>
    <s v="Male"/>
    <n v="92"/>
    <n v="2"/>
    <n v="2"/>
    <x v="4"/>
    <x v="2"/>
    <s v="Married"/>
    <n v="5063"/>
    <n v="15332"/>
    <n v="1"/>
    <s v="Y"/>
    <x v="1"/>
    <n v="14"/>
    <n v="3"/>
    <n v="2"/>
    <n v="80"/>
    <n v="1"/>
    <n v="8"/>
    <n v="3"/>
    <x v="2"/>
    <n v="8"/>
    <n v="2"/>
    <n v="7"/>
    <n v="7"/>
    <x v="1"/>
    <x v="0"/>
  </r>
  <r>
    <n v="40"/>
    <x v="1"/>
    <s v="Travel_Rarely"/>
    <n v="118"/>
    <x v="0"/>
    <n v="14"/>
    <n v="2"/>
    <s v="Life Sciences"/>
    <n v="1"/>
    <x v="1132"/>
    <n v="4"/>
    <s v="Female"/>
    <n v="84"/>
    <n v="3"/>
    <n v="2"/>
    <x v="0"/>
    <x v="3"/>
    <s v="Married"/>
    <n v="4639"/>
    <n v="11262"/>
    <n v="1"/>
    <s v="Y"/>
    <x v="1"/>
    <n v="15"/>
    <n v="3"/>
    <n v="3"/>
    <n v="80"/>
    <n v="1"/>
    <n v="5"/>
    <n v="2"/>
    <x v="1"/>
    <n v="5"/>
    <n v="4"/>
    <n v="1"/>
    <n v="2"/>
    <x v="1"/>
    <x v="0"/>
  </r>
  <r>
    <n v="43"/>
    <x v="1"/>
    <s v="Travel_Rarely"/>
    <n v="990"/>
    <x v="1"/>
    <n v="27"/>
    <n v="3"/>
    <s v="Technical Degree"/>
    <n v="1"/>
    <x v="1133"/>
    <n v="4"/>
    <s v="Male"/>
    <n v="87"/>
    <n v="4"/>
    <n v="1"/>
    <x v="2"/>
    <x v="1"/>
    <s v="Divorced"/>
    <n v="4876"/>
    <n v="5855"/>
    <n v="5"/>
    <s v="Y"/>
    <x v="1"/>
    <n v="12"/>
    <n v="3"/>
    <n v="3"/>
    <n v="80"/>
    <n v="1"/>
    <n v="8"/>
    <n v="0"/>
    <x v="1"/>
    <n v="6"/>
    <n v="4"/>
    <n v="0"/>
    <n v="2"/>
    <x v="0"/>
    <x v="0"/>
  </r>
  <r>
    <n v="35"/>
    <x v="1"/>
    <s v="Travel_Rarely"/>
    <n v="1349"/>
    <x v="1"/>
    <n v="7"/>
    <n v="2"/>
    <s v="Life Sciences"/>
    <n v="1"/>
    <x v="1134"/>
    <n v="3"/>
    <s v="Male"/>
    <n v="63"/>
    <n v="2"/>
    <n v="1"/>
    <x v="2"/>
    <x v="0"/>
    <s v="Married"/>
    <n v="2690"/>
    <n v="7713"/>
    <n v="1"/>
    <s v="Y"/>
    <x v="1"/>
    <n v="18"/>
    <n v="3"/>
    <n v="4"/>
    <n v="80"/>
    <n v="1"/>
    <n v="1"/>
    <n v="5"/>
    <x v="2"/>
    <n v="1"/>
    <n v="0"/>
    <n v="0"/>
    <n v="1"/>
    <x v="1"/>
    <x v="1"/>
  </r>
  <r>
    <n v="46"/>
    <x v="1"/>
    <s v="Travel_Rarely"/>
    <n v="563"/>
    <x v="0"/>
    <n v="1"/>
    <n v="4"/>
    <s v="Life Sciences"/>
    <n v="1"/>
    <x v="1135"/>
    <n v="4"/>
    <s v="Male"/>
    <n v="56"/>
    <n v="4"/>
    <n v="4"/>
    <x v="5"/>
    <x v="3"/>
    <s v="Single"/>
    <n v="17567"/>
    <n v="3156"/>
    <n v="1"/>
    <s v="Y"/>
    <x v="1"/>
    <n v="15"/>
    <n v="3"/>
    <n v="2"/>
    <n v="80"/>
    <n v="0"/>
    <n v="27"/>
    <n v="5"/>
    <x v="0"/>
    <n v="26"/>
    <n v="0"/>
    <n v="0"/>
    <n v="12"/>
    <x v="0"/>
    <x v="2"/>
  </r>
  <r>
    <n v="28"/>
    <x v="0"/>
    <s v="Travel_Rarely"/>
    <n v="329"/>
    <x v="1"/>
    <n v="24"/>
    <n v="3"/>
    <s v="Medical"/>
    <n v="1"/>
    <x v="1136"/>
    <n v="3"/>
    <s v="Male"/>
    <n v="51"/>
    <n v="3"/>
    <n v="1"/>
    <x v="2"/>
    <x v="1"/>
    <s v="Married"/>
    <n v="2408"/>
    <n v="7324"/>
    <n v="1"/>
    <s v="Y"/>
    <x v="0"/>
    <n v="17"/>
    <n v="3"/>
    <n v="3"/>
    <n v="80"/>
    <n v="3"/>
    <n v="1"/>
    <n v="3"/>
    <x v="1"/>
    <n v="1"/>
    <n v="1"/>
    <n v="0"/>
    <n v="0"/>
    <x v="2"/>
    <x v="1"/>
  </r>
  <r>
    <n v="22"/>
    <x v="1"/>
    <s v="Non-Travel"/>
    <n v="457"/>
    <x v="1"/>
    <n v="26"/>
    <n v="2"/>
    <s v="Other"/>
    <n v="1"/>
    <x v="1137"/>
    <n v="2"/>
    <s v="Female"/>
    <n v="85"/>
    <n v="2"/>
    <n v="1"/>
    <x v="1"/>
    <x v="2"/>
    <s v="Married"/>
    <n v="2814"/>
    <n v="10293"/>
    <n v="1"/>
    <s v="Y"/>
    <x v="0"/>
    <n v="14"/>
    <n v="3"/>
    <n v="2"/>
    <n v="80"/>
    <n v="0"/>
    <n v="4"/>
    <n v="2"/>
    <x v="2"/>
    <n v="4"/>
    <n v="2"/>
    <n v="1"/>
    <n v="3"/>
    <x v="2"/>
    <x v="1"/>
  </r>
  <r>
    <n v="50"/>
    <x v="1"/>
    <s v="Travel_Frequently"/>
    <n v="1234"/>
    <x v="1"/>
    <n v="20"/>
    <n v="5"/>
    <s v="Medical"/>
    <n v="1"/>
    <x v="1138"/>
    <n v="2"/>
    <s v="Male"/>
    <n v="41"/>
    <n v="3"/>
    <n v="4"/>
    <x v="4"/>
    <x v="2"/>
    <s v="Married"/>
    <n v="11245"/>
    <n v="20689"/>
    <n v="2"/>
    <s v="Y"/>
    <x v="0"/>
    <n v="15"/>
    <n v="3"/>
    <n v="3"/>
    <n v="80"/>
    <n v="1"/>
    <n v="32"/>
    <n v="3"/>
    <x v="1"/>
    <n v="30"/>
    <n v="8"/>
    <n v="12"/>
    <n v="13"/>
    <x v="0"/>
    <x v="2"/>
  </r>
  <r>
    <n v="32"/>
    <x v="1"/>
    <s v="Travel_Rarely"/>
    <n v="634"/>
    <x v="1"/>
    <n v="5"/>
    <n v="4"/>
    <s v="Other"/>
    <n v="1"/>
    <x v="1139"/>
    <n v="2"/>
    <s v="Female"/>
    <n v="35"/>
    <n v="4"/>
    <n v="1"/>
    <x v="1"/>
    <x v="0"/>
    <s v="Married"/>
    <n v="3312"/>
    <n v="18783"/>
    <n v="3"/>
    <s v="Y"/>
    <x v="1"/>
    <n v="17"/>
    <n v="3"/>
    <n v="4"/>
    <n v="80"/>
    <n v="2"/>
    <n v="6"/>
    <n v="3"/>
    <x v="1"/>
    <n v="3"/>
    <n v="2"/>
    <n v="0"/>
    <n v="2"/>
    <x v="1"/>
    <x v="1"/>
  </r>
  <r>
    <n v="44"/>
    <x v="1"/>
    <s v="Travel_Rarely"/>
    <n v="1313"/>
    <x v="1"/>
    <n v="7"/>
    <n v="3"/>
    <s v="Medical"/>
    <n v="1"/>
    <x v="1140"/>
    <n v="2"/>
    <s v="Female"/>
    <n v="31"/>
    <n v="3"/>
    <n v="5"/>
    <x v="7"/>
    <x v="0"/>
    <s v="Divorced"/>
    <n v="19049"/>
    <n v="3549"/>
    <n v="0"/>
    <s v="Y"/>
    <x v="0"/>
    <n v="14"/>
    <n v="3"/>
    <n v="4"/>
    <n v="80"/>
    <n v="1"/>
    <n v="23"/>
    <n v="4"/>
    <x v="2"/>
    <n v="22"/>
    <n v="7"/>
    <n v="1"/>
    <n v="10"/>
    <x v="0"/>
    <x v="2"/>
  </r>
  <r>
    <n v="30"/>
    <x v="1"/>
    <s v="Travel_Rarely"/>
    <n v="241"/>
    <x v="1"/>
    <n v="7"/>
    <n v="3"/>
    <s v="Medical"/>
    <n v="1"/>
    <x v="1141"/>
    <n v="2"/>
    <s v="Male"/>
    <n v="48"/>
    <n v="2"/>
    <n v="1"/>
    <x v="1"/>
    <x v="1"/>
    <s v="Married"/>
    <n v="2141"/>
    <n v="5348"/>
    <n v="1"/>
    <s v="Y"/>
    <x v="1"/>
    <n v="12"/>
    <n v="3"/>
    <n v="2"/>
    <n v="80"/>
    <n v="1"/>
    <n v="6"/>
    <n v="3"/>
    <x v="2"/>
    <n v="6"/>
    <n v="4"/>
    <n v="1"/>
    <n v="1"/>
    <x v="1"/>
    <x v="1"/>
  </r>
  <r>
    <n v="45"/>
    <x v="1"/>
    <s v="Travel_Rarely"/>
    <n v="1015"/>
    <x v="1"/>
    <n v="5"/>
    <n v="5"/>
    <s v="Medical"/>
    <n v="1"/>
    <x v="1142"/>
    <n v="3"/>
    <s v="Female"/>
    <n v="50"/>
    <n v="1"/>
    <n v="2"/>
    <x v="2"/>
    <x v="3"/>
    <s v="Single"/>
    <n v="5769"/>
    <n v="23447"/>
    <n v="1"/>
    <s v="Y"/>
    <x v="0"/>
    <n v="14"/>
    <n v="3"/>
    <n v="1"/>
    <n v="80"/>
    <n v="0"/>
    <n v="10"/>
    <n v="3"/>
    <x v="1"/>
    <n v="10"/>
    <n v="7"/>
    <n v="1"/>
    <n v="4"/>
    <x v="0"/>
    <x v="0"/>
  </r>
  <r>
    <n v="45"/>
    <x v="1"/>
    <s v="Non-Travel"/>
    <n v="336"/>
    <x v="0"/>
    <n v="26"/>
    <n v="3"/>
    <s v="Marketing"/>
    <n v="1"/>
    <x v="1143"/>
    <n v="1"/>
    <s v="Male"/>
    <n v="52"/>
    <n v="2"/>
    <n v="2"/>
    <x v="0"/>
    <x v="3"/>
    <s v="Married"/>
    <n v="4385"/>
    <n v="24162"/>
    <n v="1"/>
    <s v="Y"/>
    <x v="1"/>
    <n v="15"/>
    <n v="3"/>
    <n v="1"/>
    <n v="80"/>
    <n v="1"/>
    <n v="10"/>
    <n v="2"/>
    <x v="1"/>
    <n v="10"/>
    <n v="7"/>
    <n v="4"/>
    <n v="5"/>
    <x v="0"/>
    <x v="0"/>
  </r>
  <r>
    <n v="31"/>
    <x v="1"/>
    <s v="Travel_Frequently"/>
    <n v="715"/>
    <x v="0"/>
    <n v="2"/>
    <n v="4"/>
    <s v="Other"/>
    <n v="1"/>
    <x v="1144"/>
    <n v="4"/>
    <s v="Male"/>
    <n v="54"/>
    <n v="3"/>
    <n v="2"/>
    <x v="0"/>
    <x v="3"/>
    <s v="Single"/>
    <n v="5332"/>
    <n v="21602"/>
    <n v="7"/>
    <s v="Y"/>
    <x v="1"/>
    <n v="13"/>
    <n v="3"/>
    <n v="4"/>
    <n v="80"/>
    <n v="0"/>
    <n v="10"/>
    <n v="3"/>
    <x v="1"/>
    <n v="5"/>
    <n v="2"/>
    <n v="0"/>
    <n v="3"/>
    <x v="1"/>
    <x v="0"/>
  </r>
  <r>
    <n v="36"/>
    <x v="1"/>
    <s v="Travel_Rarely"/>
    <n v="559"/>
    <x v="1"/>
    <n v="12"/>
    <n v="4"/>
    <s v="Life Sciences"/>
    <n v="1"/>
    <x v="1145"/>
    <n v="3"/>
    <s v="Female"/>
    <n v="76"/>
    <n v="3"/>
    <n v="2"/>
    <x v="3"/>
    <x v="2"/>
    <s v="Married"/>
    <n v="4663"/>
    <n v="12421"/>
    <n v="9"/>
    <s v="Y"/>
    <x v="0"/>
    <n v="12"/>
    <n v="3"/>
    <n v="2"/>
    <n v="80"/>
    <n v="2"/>
    <n v="7"/>
    <n v="2"/>
    <x v="1"/>
    <n v="3"/>
    <n v="2"/>
    <n v="1"/>
    <n v="1"/>
    <x v="1"/>
    <x v="0"/>
  </r>
  <r>
    <n v="34"/>
    <x v="1"/>
    <s v="Travel_Frequently"/>
    <n v="426"/>
    <x v="1"/>
    <n v="10"/>
    <n v="4"/>
    <s v="Life Sciences"/>
    <n v="1"/>
    <x v="1146"/>
    <n v="3"/>
    <s v="Male"/>
    <n v="42"/>
    <n v="4"/>
    <n v="2"/>
    <x v="3"/>
    <x v="0"/>
    <s v="Divorced"/>
    <n v="4724"/>
    <n v="17000"/>
    <n v="1"/>
    <s v="Y"/>
    <x v="1"/>
    <n v="13"/>
    <n v="3"/>
    <n v="1"/>
    <n v="80"/>
    <n v="1"/>
    <n v="9"/>
    <n v="3"/>
    <x v="1"/>
    <n v="9"/>
    <n v="7"/>
    <n v="7"/>
    <n v="2"/>
    <x v="1"/>
    <x v="0"/>
  </r>
  <r>
    <n v="49"/>
    <x v="1"/>
    <s v="Travel_Rarely"/>
    <n v="722"/>
    <x v="1"/>
    <n v="25"/>
    <n v="4"/>
    <s v="Life Sciences"/>
    <n v="1"/>
    <x v="1147"/>
    <n v="3"/>
    <s v="Female"/>
    <n v="84"/>
    <n v="3"/>
    <n v="1"/>
    <x v="2"/>
    <x v="3"/>
    <s v="Married"/>
    <n v="3211"/>
    <n v="22102"/>
    <n v="1"/>
    <s v="Y"/>
    <x v="1"/>
    <n v="14"/>
    <n v="3"/>
    <n v="4"/>
    <n v="80"/>
    <n v="1"/>
    <n v="10"/>
    <n v="3"/>
    <x v="2"/>
    <n v="9"/>
    <n v="6"/>
    <n v="1"/>
    <n v="4"/>
    <x v="0"/>
    <x v="1"/>
  </r>
  <r>
    <n v="39"/>
    <x v="1"/>
    <s v="Travel_Rarely"/>
    <n v="1387"/>
    <x v="1"/>
    <n v="10"/>
    <n v="5"/>
    <s v="Medical"/>
    <n v="1"/>
    <x v="1148"/>
    <n v="2"/>
    <s v="Male"/>
    <n v="76"/>
    <n v="3"/>
    <n v="2"/>
    <x v="3"/>
    <x v="3"/>
    <s v="Married"/>
    <n v="5377"/>
    <n v="3835"/>
    <n v="2"/>
    <s v="Y"/>
    <x v="1"/>
    <n v="13"/>
    <n v="3"/>
    <n v="4"/>
    <n v="80"/>
    <n v="3"/>
    <n v="10"/>
    <n v="3"/>
    <x v="1"/>
    <n v="7"/>
    <n v="7"/>
    <n v="7"/>
    <n v="7"/>
    <x v="1"/>
    <x v="0"/>
  </r>
  <r>
    <n v="27"/>
    <x v="1"/>
    <s v="Travel_Rarely"/>
    <n v="1302"/>
    <x v="1"/>
    <n v="19"/>
    <n v="3"/>
    <s v="Other"/>
    <n v="1"/>
    <x v="1149"/>
    <n v="4"/>
    <s v="Male"/>
    <n v="67"/>
    <n v="2"/>
    <n v="1"/>
    <x v="2"/>
    <x v="3"/>
    <s v="Divorced"/>
    <n v="4066"/>
    <n v="16290"/>
    <n v="1"/>
    <s v="Y"/>
    <x v="1"/>
    <n v="11"/>
    <n v="3"/>
    <n v="1"/>
    <n v="80"/>
    <n v="2"/>
    <n v="7"/>
    <n v="3"/>
    <x v="1"/>
    <n v="7"/>
    <n v="7"/>
    <n v="0"/>
    <n v="7"/>
    <x v="2"/>
    <x v="0"/>
  </r>
  <r>
    <n v="35"/>
    <x v="1"/>
    <s v="Travel_Rarely"/>
    <n v="819"/>
    <x v="1"/>
    <n v="18"/>
    <n v="5"/>
    <s v="Life Sciences"/>
    <n v="1"/>
    <x v="1150"/>
    <n v="2"/>
    <s v="Male"/>
    <n v="48"/>
    <n v="4"/>
    <n v="2"/>
    <x v="1"/>
    <x v="3"/>
    <s v="Married"/>
    <n v="5208"/>
    <n v="26312"/>
    <n v="1"/>
    <s v="Y"/>
    <x v="1"/>
    <n v="11"/>
    <n v="3"/>
    <n v="4"/>
    <n v="80"/>
    <n v="0"/>
    <n v="16"/>
    <n v="2"/>
    <x v="1"/>
    <n v="16"/>
    <n v="15"/>
    <n v="1"/>
    <n v="10"/>
    <x v="1"/>
    <x v="0"/>
  </r>
  <r>
    <n v="28"/>
    <x v="1"/>
    <s v="Travel_Rarely"/>
    <n v="580"/>
    <x v="1"/>
    <n v="27"/>
    <n v="3"/>
    <s v="Medical"/>
    <n v="1"/>
    <x v="1151"/>
    <n v="2"/>
    <s v="Female"/>
    <n v="39"/>
    <n v="1"/>
    <n v="2"/>
    <x v="3"/>
    <x v="3"/>
    <s v="Divorced"/>
    <n v="4877"/>
    <n v="20460"/>
    <n v="0"/>
    <s v="Y"/>
    <x v="1"/>
    <n v="21"/>
    <n v="4"/>
    <n v="2"/>
    <n v="80"/>
    <n v="1"/>
    <n v="6"/>
    <n v="5"/>
    <x v="2"/>
    <n v="5"/>
    <n v="3"/>
    <n v="0"/>
    <n v="0"/>
    <x v="2"/>
    <x v="0"/>
  </r>
  <r>
    <n v="21"/>
    <x v="1"/>
    <s v="Travel_Rarely"/>
    <n v="546"/>
    <x v="1"/>
    <n v="5"/>
    <n v="1"/>
    <s v="Medical"/>
    <n v="1"/>
    <x v="1152"/>
    <n v="3"/>
    <s v="Male"/>
    <n v="97"/>
    <n v="3"/>
    <n v="1"/>
    <x v="1"/>
    <x v="0"/>
    <s v="Single"/>
    <n v="3117"/>
    <n v="26009"/>
    <n v="1"/>
    <s v="Y"/>
    <x v="1"/>
    <n v="18"/>
    <n v="3"/>
    <n v="3"/>
    <n v="80"/>
    <n v="0"/>
    <n v="3"/>
    <n v="2"/>
    <x v="1"/>
    <n v="2"/>
    <n v="2"/>
    <n v="2"/>
    <n v="2"/>
    <x v="2"/>
    <x v="1"/>
  </r>
  <r>
    <n v="18"/>
    <x v="0"/>
    <s v="Travel_Frequently"/>
    <n v="544"/>
    <x v="0"/>
    <n v="3"/>
    <n v="2"/>
    <s v="Medical"/>
    <n v="1"/>
    <x v="1153"/>
    <n v="2"/>
    <s v="Female"/>
    <n v="70"/>
    <n v="3"/>
    <n v="1"/>
    <x v="6"/>
    <x v="0"/>
    <s v="Single"/>
    <n v="1569"/>
    <n v="18420"/>
    <n v="1"/>
    <s v="Y"/>
    <x v="0"/>
    <n v="12"/>
    <n v="3"/>
    <n v="3"/>
    <n v="80"/>
    <n v="0"/>
    <n v="0"/>
    <n v="2"/>
    <x v="3"/>
    <n v="0"/>
    <n v="0"/>
    <n v="0"/>
    <n v="0"/>
    <x v="2"/>
    <x v="1"/>
  </r>
  <r>
    <n v="47"/>
    <x v="1"/>
    <s v="Travel_Rarely"/>
    <n v="1176"/>
    <x v="2"/>
    <n v="26"/>
    <n v="4"/>
    <s v="Life Sciences"/>
    <n v="1"/>
    <x v="1154"/>
    <n v="4"/>
    <s v="Female"/>
    <n v="98"/>
    <n v="3"/>
    <n v="5"/>
    <x v="5"/>
    <x v="2"/>
    <s v="Married"/>
    <n v="19658"/>
    <n v="5220"/>
    <n v="3"/>
    <s v="Y"/>
    <x v="1"/>
    <n v="11"/>
    <n v="3"/>
    <n v="3"/>
    <n v="80"/>
    <n v="1"/>
    <n v="27"/>
    <n v="2"/>
    <x v="1"/>
    <n v="5"/>
    <n v="2"/>
    <n v="1"/>
    <n v="0"/>
    <x v="0"/>
    <x v="2"/>
  </r>
  <r>
    <n v="39"/>
    <x v="1"/>
    <s v="Travel_Rarely"/>
    <n v="170"/>
    <x v="1"/>
    <n v="3"/>
    <n v="2"/>
    <s v="Medical"/>
    <n v="1"/>
    <x v="1155"/>
    <n v="3"/>
    <s v="Male"/>
    <n v="76"/>
    <n v="2"/>
    <n v="2"/>
    <x v="2"/>
    <x v="2"/>
    <s v="Divorced"/>
    <n v="3069"/>
    <n v="10302"/>
    <n v="0"/>
    <s v="Y"/>
    <x v="1"/>
    <n v="15"/>
    <n v="3"/>
    <n v="4"/>
    <n v="80"/>
    <n v="1"/>
    <n v="11"/>
    <n v="3"/>
    <x v="1"/>
    <n v="10"/>
    <n v="8"/>
    <n v="0"/>
    <n v="7"/>
    <x v="1"/>
    <x v="1"/>
  </r>
  <r>
    <n v="40"/>
    <x v="1"/>
    <s v="Travel_Rarely"/>
    <n v="884"/>
    <x v="1"/>
    <n v="15"/>
    <n v="3"/>
    <s v="Life Sciences"/>
    <n v="1"/>
    <x v="1156"/>
    <n v="1"/>
    <s v="Female"/>
    <n v="80"/>
    <n v="2"/>
    <n v="3"/>
    <x v="3"/>
    <x v="2"/>
    <s v="Married"/>
    <n v="10435"/>
    <n v="25800"/>
    <n v="1"/>
    <s v="Y"/>
    <x v="1"/>
    <n v="13"/>
    <n v="3"/>
    <n v="4"/>
    <n v="80"/>
    <n v="2"/>
    <n v="18"/>
    <n v="2"/>
    <x v="1"/>
    <n v="18"/>
    <n v="15"/>
    <n v="14"/>
    <n v="12"/>
    <x v="1"/>
    <x v="2"/>
  </r>
  <r>
    <n v="35"/>
    <x v="1"/>
    <s v="Non-Travel"/>
    <n v="208"/>
    <x v="1"/>
    <n v="8"/>
    <n v="4"/>
    <s v="Life Sciences"/>
    <n v="1"/>
    <x v="1157"/>
    <n v="3"/>
    <s v="Female"/>
    <n v="52"/>
    <n v="3"/>
    <n v="2"/>
    <x v="4"/>
    <x v="2"/>
    <s v="Married"/>
    <n v="4148"/>
    <n v="12250"/>
    <n v="1"/>
    <s v="Y"/>
    <x v="1"/>
    <n v="12"/>
    <n v="3"/>
    <n v="4"/>
    <n v="80"/>
    <n v="1"/>
    <n v="15"/>
    <n v="5"/>
    <x v="1"/>
    <n v="14"/>
    <n v="11"/>
    <n v="2"/>
    <n v="9"/>
    <x v="1"/>
    <x v="0"/>
  </r>
  <r>
    <n v="37"/>
    <x v="1"/>
    <s v="Travel_Rarely"/>
    <n v="671"/>
    <x v="1"/>
    <n v="19"/>
    <n v="3"/>
    <s v="Life Sciences"/>
    <n v="1"/>
    <x v="1158"/>
    <n v="3"/>
    <s v="Male"/>
    <n v="85"/>
    <n v="3"/>
    <n v="2"/>
    <x v="3"/>
    <x v="2"/>
    <s v="Married"/>
    <n v="5768"/>
    <n v="26493"/>
    <n v="3"/>
    <s v="Y"/>
    <x v="1"/>
    <n v="17"/>
    <n v="3"/>
    <n v="1"/>
    <n v="80"/>
    <n v="3"/>
    <n v="9"/>
    <n v="2"/>
    <x v="2"/>
    <n v="4"/>
    <n v="3"/>
    <n v="0"/>
    <n v="2"/>
    <x v="1"/>
    <x v="0"/>
  </r>
  <r>
    <n v="39"/>
    <x v="1"/>
    <s v="Travel_Frequently"/>
    <n v="711"/>
    <x v="1"/>
    <n v="4"/>
    <n v="3"/>
    <s v="Medical"/>
    <n v="1"/>
    <x v="1159"/>
    <n v="1"/>
    <s v="Female"/>
    <n v="81"/>
    <n v="3"/>
    <n v="2"/>
    <x v="3"/>
    <x v="2"/>
    <s v="Single"/>
    <n v="5042"/>
    <n v="3140"/>
    <n v="0"/>
    <s v="Y"/>
    <x v="1"/>
    <n v="13"/>
    <n v="3"/>
    <n v="4"/>
    <n v="80"/>
    <n v="0"/>
    <n v="10"/>
    <n v="2"/>
    <x v="0"/>
    <n v="9"/>
    <n v="2"/>
    <n v="3"/>
    <n v="8"/>
    <x v="1"/>
    <x v="0"/>
  </r>
  <r>
    <n v="45"/>
    <x v="1"/>
    <s v="Travel_Rarely"/>
    <n v="1329"/>
    <x v="1"/>
    <n v="2"/>
    <n v="2"/>
    <s v="Other"/>
    <n v="1"/>
    <x v="1160"/>
    <n v="4"/>
    <s v="Female"/>
    <n v="59"/>
    <n v="2"/>
    <n v="2"/>
    <x v="3"/>
    <x v="0"/>
    <s v="Divorced"/>
    <n v="5770"/>
    <n v="5388"/>
    <n v="1"/>
    <s v="Y"/>
    <x v="1"/>
    <n v="19"/>
    <n v="3"/>
    <n v="1"/>
    <n v="80"/>
    <n v="2"/>
    <n v="10"/>
    <n v="3"/>
    <x v="1"/>
    <n v="10"/>
    <n v="7"/>
    <n v="3"/>
    <n v="9"/>
    <x v="0"/>
    <x v="0"/>
  </r>
  <r>
    <n v="38"/>
    <x v="1"/>
    <s v="Travel_Rarely"/>
    <n v="397"/>
    <x v="1"/>
    <n v="2"/>
    <n v="2"/>
    <s v="Medical"/>
    <n v="1"/>
    <x v="1161"/>
    <n v="4"/>
    <s v="Female"/>
    <n v="54"/>
    <n v="2"/>
    <n v="3"/>
    <x v="3"/>
    <x v="2"/>
    <s v="Married"/>
    <n v="7756"/>
    <n v="14199"/>
    <n v="3"/>
    <s v="Y"/>
    <x v="0"/>
    <n v="19"/>
    <n v="3"/>
    <n v="4"/>
    <n v="80"/>
    <n v="1"/>
    <n v="10"/>
    <n v="6"/>
    <x v="3"/>
    <n v="5"/>
    <n v="4"/>
    <n v="0"/>
    <n v="2"/>
    <x v="1"/>
    <x v="2"/>
  </r>
  <r>
    <n v="35"/>
    <x v="0"/>
    <s v="Travel_Rarely"/>
    <n v="737"/>
    <x v="0"/>
    <n v="10"/>
    <n v="3"/>
    <s v="Medical"/>
    <n v="1"/>
    <x v="1162"/>
    <n v="4"/>
    <s v="Male"/>
    <n v="55"/>
    <n v="2"/>
    <n v="3"/>
    <x v="0"/>
    <x v="3"/>
    <s v="Married"/>
    <n v="10306"/>
    <n v="21530"/>
    <n v="9"/>
    <s v="Y"/>
    <x v="1"/>
    <n v="17"/>
    <n v="3"/>
    <n v="3"/>
    <n v="80"/>
    <n v="0"/>
    <n v="15"/>
    <n v="3"/>
    <x v="1"/>
    <n v="13"/>
    <n v="12"/>
    <n v="6"/>
    <n v="0"/>
    <x v="1"/>
    <x v="2"/>
  </r>
  <r>
    <n v="37"/>
    <x v="1"/>
    <s v="Travel_Rarely"/>
    <n v="1470"/>
    <x v="1"/>
    <n v="10"/>
    <n v="3"/>
    <s v="Medical"/>
    <n v="1"/>
    <x v="1163"/>
    <n v="2"/>
    <s v="Female"/>
    <n v="71"/>
    <n v="3"/>
    <n v="1"/>
    <x v="1"/>
    <x v="1"/>
    <s v="Married"/>
    <n v="3936"/>
    <n v="9953"/>
    <n v="1"/>
    <s v="Y"/>
    <x v="1"/>
    <n v="11"/>
    <n v="3"/>
    <n v="1"/>
    <n v="80"/>
    <n v="1"/>
    <n v="8"/>
    <n v="2"/>
    <x v="0"/>
    <n v="8"/>
    <n v="4"/>
    <n v="7"/>
    <n v="7"/>
    <x v="1"/>
    <x v="1"/>
  </r>
  <r>
    <n v="40"/>
    <x v="1"/>
    <s v="Travel_Rarely"/>
    <n v="448"/>
    <x v="1"/>
    <n v="16"/>
    <n v="3"/>
    <s v="Life Sciences"/>
    <n v="1"/>
    <x v="1164"/>
    <n v="3"/>
    <s v="Female"/>
    <n v="84"/>
    <n v="3"/>
    <n v="3"/>
    <x v="3"/>
    <x v="0"/>
    <s v="Single"/>
    <n v="7945"/>
    <n v="19948"/>
    <n v="6"/>
    <s v="Y"/>
    <x v="0"/>
    <n v="15"/>
    <n v="3"/>
    <n v="4"/>
    <n v="80"/>
    <n v="0"/>
    <n v="18"/>
    <n v="2"/>
    <x v="2"/>
    <n v="4"/>
    <n v="2"/>
    <n v="3"/>
    <n v="3"/>
    <x v="1"/>
    <x v="2"/>
  </r>
  <r>
    <n v="44"/>
    <x v="1"/>
    <s v="Travel_Frequently"/>
    <n v="602"/>
    <x v="2"/>
    <n v="1"/>
    <n v="5"/>
    <s v="Human Resources"/>
    <n v="1"/>
    <x v="1165"/>
    <n v="1"/>
    <s v="Male"/>
    <n v="37"/>
    <n v="3"/>
    <n v="2"/>
    <x v="8"/>
    <x v="0"/>
    <s v="Married"/>
    <n v="5743"/>
    <n v="10503"/>
    <n v="4"/>
    <s v="Y"/>
    <x v="0"/>
    <n v="11"/>
    <n v="3"/>
    <n v="3"/>
    <n v="80"/>
    <n v="0"/>
    <n v="14"/>
    <n v="3"/>
    <x v="1"/>
    <n v="10"/>
    <n v="7"/>
    <n v="0"/>
    <n v="2"/>
    <x v="0"/>
    <x v="0"/>
  </r>
  <r>
    <n v="48"/>
    <x v="1"/>
    <s v="Travel_Frequently"/>
    <n v="365"/>
    <x v="1"/>
    <n v="4"/>
    <n v="5"/>
    <s v="Medical"/>
    <n v="1"/>
    <x v="1166"/>
    <n v="3"/>
    <s v="Male"/>
    <n v="89"/>
    <n v="2"/>
    <n v="4"/>
    <x v="5"/>
    <x v="0"/>
    <s v="Married"/>
    <n v="15202"/>
    <n v="5602"/>
    <n v="2"/>
    <s v="Y"/>
    <x v="1"/>
    <n v="25"/>
    <n v="4"/>
    <n v="2"/>
    <n v="80"/>
    <n v="1"/>
    <n v="23"/>
    <n v="3"/>
    <x v="1"/>
    <n v="2"/>
    <n v="2"/>
    <n v="2"/>
    <n v="2"/>
    <x v="0"/>
    <x v="2"/>
  </r>
  <r>
    <n v="35"/>
    <x v="0"/>
    <s v="Travel_Rarely"/>
    <n v="763"/>
    <x v="0"/>
    <n v="15"/>
    <n v="2"/>
    <s v="Medical"/>
    <n v="1"/>
    <x v="1167"/>
    <n v="1"/>
    <s v="Male"/>
    <n v="59"/>
    <n v="1"/>
    <n v="2"/>
    <x v="0"/>
    <x v="0"/>
    <s v="Divorced"/>
    <n v="5440"/>
    <n v="22098"/>
    <n v="6"/>
    <s v="Y"/>
    <x v="0"/>
    <n v="14"/>
    <n v="3"/>
    <n v="4"/>
    <n v="80"/>
    <n v="2"/>
    <n v="7"/>
    <n v="2"/>
    <x v="2"/>
    <n v="2"/>
    <n v="2"/>
    <n v="2"/>
    <n v="2"/>
    <x v="1"/>
    <x v="0"/>
  </r>
  <r>
    <n v="24"/>
    <x v="1"/>
    <s v="Travel_Frequently"/>
    <n v="567"/>
    <x v="1"/>
    <n v="2"/>
    <n v="1"/>
    <s v="Technical Degree"/>
    <n v="1"/>
    <x v="1168"/>
    <n v="1"/>
    <s v="Female"/>
    <n v="32"/>
    <n v="3"/>
    <n v="1"/>
    <x v="1"/>
    <x v="0"/>
    <s v="Single"/>
    <n v="3760"/>
    <n v="17218"/>
    <n v="1"/>
    <s v="Y"/>
    <x v="0"/>
    <n v="13"/>
    <n v="3"/>
    <n v="3"/>
    <n v="80"/>
    <n v="0"/>
    <n v="6"/>
    <n v="2"/>
    <x v="1"/>
    <n v="6"/>
    <n v="3"/>
    <n v="1"/>
    <n v="3"/>
    <x v="2"/>
    <x v="1"/>
  </r>
  <r>
    <n v="27"/>
    <x v="1"/>
    <s v="Travel_Rarely"/>
    <n v="486"/>
    <x v="1"/>
    <n v="8"/>
    <n v="3"/>
    <s v="Medical"/>
    <n v="1"/>
    <x v="1169"/>
    <n v="2"/>
    <s v="Female"/>
    <n v="86"/>
    <n v="4"/>
    <n v="1"/>
    <x v="1"/>
    <x v="2"/>
    <s v="Married"/>
    <n v="3517"/>
    <n v="22490"/>
    <n v="7"/>
    <s v="Y"/>
    <x v="1"/>
    <n v="17"/>
    <n v="3"/>
    <n v="1"/>
    <n v="80"/>
    <n v="0"/>
    <n v="5"/>
    <n v="0"/>
    <x v="1"/>
    <n v="3"/>
    <n v="2"/>
    <n v="0"/>
    <n v="2"/>
    <x v="2"/>
    <x v="1"/>
  </r>
  <r>
    <n v="27"/>
    <x v="1"/>
    <s v="Travel_Frequently"/>
    <n v="591"/>
    <x v="1"/>
    <n v="2"/>
    <n v="3"/>
    <s v="Medical"/>
    <n v="1"/>
    <x v="1170"/>
    <n v="4"/>
    <s v="Male"/>
    <n v="87"/>
    <n v="3"/>
    <n v="1"/>
    <x v="1"/>
    <x v="0"/>
    <s v="Single"/>
    <n v="2580"/>
    <n v="6297"/>
    <n v="2"/>
    <s v="Y"/>
    <x v="1"/>
    <n v="13"/>
    <n v="3"/>
    <n v="3"/>
    <n v="80"/>
    <n v="0"/>
    <n v="6"/>
    <n v="0"/>
    <x v="2"/>
    <n v="4"/>
    <n v="2"/>
    <n v="1"/>
    <n v="2"/>
    <x v="2"/>
    <x v="1"/>
  </r>
  <r>
    <n v="40"/>
    <x v="0"/>
    <s v="Travel_Rarely"/>
    <n v="1329"/>
    <x v="1"/>
    <n v="7"/>
    <n v="3"/>
    <s v="Life Sciences"/>
    <n v="1"/>
    <x v="1171"/>
    <n v="1"/>
    <s v="Male"/>
    <n v="73"/>
    <n v="3"/>
    <n v="1"/>
    <x v="2"/>
    <x v="3"/>
    <s v="Single"/>
    <n v="2166"/>
    <n v="3339"/>
    <n v="3"/>
    <s v="Y"/>
    <x v="0"/>
    <n v="14"/>
    <n v="3"/>
    <n v="2"/>
    <n v="80"/>
    <n v="0"/>
    <n v="10"/>
    <n v="3"/>
    <x v="0"/>
    <n v="4"/>
    <n v="2"/>
    <n v="0"/>
    <n v="3"/>
    <x v="1"/>
    <x v="1"/>
  </r>
  <r>
    <n v="29"/>
    <x v="1"/>
    <s v="Travel_Rarely"/>
    <n v="469"/>
    <x v="0"/>
    <n v="10"/>
    <n v="3"/>
    <s v="Medical"/>
    <n v="1"/>
    <x v="1172"/>
    <n v="3"/>
    <s v="Male"/>
    <n v="42"/>
    <n v="2"/>
    <n v="2"/>
    <x v="0"/>
    <x v="2"/>
    <s v="Single"/>
    <n v="5869"/>
    <n v="23413"/>
    <n v="9"/>
    <s v="Y"/>
    <x v="1"/>
    <n v="11"/>
    <n v="3"/>
    <n v="3"/>
    <n v="80"/>
    <n v="0"/>
    <n v="8"/>
    <n v="2"/>
    <x v="1"/>
    <n v="5"/>
    <n v="2"/>
    <n v="1"/>
    <n v="4"/>
    <x v="2"/>
    <x v="0"/>
  </r>
  <r>
    <n v="36"/>
    <x v="1"/>
    <s v="Travel_Rarely"/>
    <n v="711"/>
    <x v="1"/>
    <n v="5"/>
    <n v="4"/>
    <s v="Life Sciences"/>
    <n v="1"/>
    <x v="1173"/>
    <n v="2"/>
    <s v="Female"/>
    <n v="42"/>
    <n v="3"/>
    <n v="3"/>
    <x v="4"/>
    <x v="3"/>
    <s v="Married"/>
    <n v="8008"/>
    <n v="22792"/>
    <n v="4"/>
    <s v="Y"/>
    <x v="1"/>
    <n v="12"/>
    <n v="3"/>
    <n v="3"/>
    <n v="80"/>
    <n v="2"/>
    <n v="9"/>
    <n v="6"/>
    <x v="1"/>
    <n v="3"/>
    <n v="2"/>
    <n v="0"/>
    <n v="2"/>
    <x v="1"/>
    <x v="2"/>
  </r>
  <r>
    <n v="25"/>
    <x v="1"/>
    <s v="Travel_Frequently"/>
    <n v="772"/>
    <x v="1"/>
    <n v="2"/>
    <n v="1"/>
    <s v="Life Sciences"/>
    <n v="1"/>
    <x v="1174"/>
    <n v="4"/>
    <s v="Male"/>
    <n v="77"/>
    <n v="4"/>
    <n v="2"/>
    <x v="3"/>
    <x v="2"/>
    <s v="Divorced"/>
    <n v="5206"/>
    <n v="4973"/>
    <n v="1"/>
    <s v="Y"/>
    <x v="1"/>
    <n v="17"/>
    <n v="3"/>
    <n v="3"/>
    <n v="80"/>
    <n v="2"/>
    <n v="7"/>
    <n v="6"/>
    <x v="1"/>
    <n v="7"/>
    <n v="7"/>
    <n v="0"/>
    <n v="7"/>
    <x v="2"/>
    <x v="0"/>
  </r>
  <r>
    <n v="39"/>
    <x v="1"/>
    <s v="Travel_Rarely"/>
    <n v="492"/>
    <x v="1"/>
    <n v="12"/>
    <n v="3"/>
    <s v="Medical"/>
    <n v="1"/>
    <x v="1175"/>
    <n v="4"/>
    <s v="Male"/>
    <n v="66"/>
    <n v="3"/>
    <n v="2"/>
    <x v="3"/>
    <x v="1"/>
    <s v="Married"/>
    <n v="5295"/>
    <n v="7693"/>
    <n v="4"/>
    <s v="Y"/>
    <x v="1"/>
    <n v="21"/>
    <n v="4"/>
    <n v="3"/>
    <n v="80"/>
    <n v="0"/>
    <n v="7"/>
    <n v="3"/>
    <x v="1"/>
    <n v="5"/>
    <n v="4"/>
    <n v="1"/>
    <n v="0"/>
    <x v="1"/>
    <x v="0"/>
  </r>
  <r>
    <n v="49"/>
    <x v="1"/>
    <s v="Travel_Rarely"/>
    <n v="301"/>
    <x v="1"/>
    <n v="22"/>
    <n v="4"/>
    <s v="Other"/>
    <n v="1"/>
    <x v="1176"/>
    <n v="1"/>
    <s v="Female"/>
    <n v="72"/>
    <n v="3"/>
    <n v="4"/>
    <x v="7"/>
    <x v="1"/>
    <s v="Married"/>
    <n v="16413"/>
    <n v="3498"/>
    <n v="3"/>
    <s v="Y"/>
    <x v="1"/>
    <n v="16"/>
    <n v="3"/>
    <n v="2"/>
    <n v="80"/>
    <n v="2"/>
    <n v="27"/>
    <n v="2"/>
    <x v="1"/>
    <n v="4"/>
    <n v="2"/>
    <n v="1"/>
    <n v="2"/>
    <x v="0"/>
    <x v="2"/>
  </r>
  <r>
    <n v="50"/>
    <x v="1"/>
    <s v="Travel_Rarely"/>
    <n v="813"/>
    <x v="1"/>
    <n v="17"/>
    <n v="5"/>
    <s v="Life Sciences"/>
    <n v="1"/>
    <x v="1177"/>
    <n v="4"/>
    <s v="Female"/>
    <n v="50"/>
    <n v="2"/>
    <n v="3"/>
    <x v="7"/>
    <x v="3"/>
    <s v="Divorced"/>
    <n v="13269"/>
    <n v="21981"/>
    <n v="5"/>
    <s v="Y"/>
    <x v="1"/>
    <n v="15"/>
    <n v="3"/>
    <n v="3"/>
    <n v="80"/>
    <n v="3"/>
    <n v="19"/>
    <n v="3"/>
    <x v="1"/>
    <n v="14"/>
    <n v="11"/>
    <n v="1"/>
    <n v="11"/>
    <x v="0"/>
    <x v="2"/>
  </r>
  <r>
    <n v="20"/>
    <x v="1"/>
    <s v="Travel_Rarely"/>
    <n v="1141"/>
    <x v="0"/>
    <n v="2"/>
    <n v="3"/>
    <s v="Medical"/>
    <n v="1"/>
    <x v="1178"/>
    <n v="3"/>
    <s v="Female"/>
    <n v="31"/>
    <n v="3"/>
    <n v="1"/>
    <x v="6"/>
    <x v="2"/>
    <s v="Single"/>
    <n v="2783"/>
    <n v="13251"/>
    <n v="1"/>
    <s v="Y"/>
    <x v="1"/>
    <n v="19"/>
    <n v="3"/>
    <n v="1"/>
    <n v="80"/>
    <n v="0"/>
    <n v="2"/>
    <n v="3"/>
    <x v="1"/>
    <n v="2"/>
    <n v="2"/>
    <n v="2"/>
    <n v="2"/>
    <x v="2"/>
    <x v="1"/>
  </r>
  <r>
    <n v="34"/>
    <x v="1"/>
    <s v="Travel_Rarely"/>
    <n v="1130"/>
    <x v="1"/>
    <n v="3"/>
    <n v="3"/>
    <s v="Life Sciences"/>
    <n v="1"/>
    <x v="1179"/>
    <n v="4"/>
    <s v="Female"/>
    <n v="66"/>
    <n v="3"/>
    <n v="2"/>
    <x v="1"/>
    <x v="1"/>
    <s v="Divorced"/>
    <n v="5433"/>
    <n v="19332"/>
    <n v="1"/>
    <s v="Y"/>
    <x v="1"/>
    <n v="12"/>
    <n v="3"/>
    <n v="3"/>
    <n v="80"/>
    <n v="1"/>
    <n v="11"/>
    <n v="2"/>
    <x v="1"/>
    <n v="11"/>
    <n v="8"/>
    <n v="7"/>
    <n v="9"/>
    <x v="1"/>
    <x v="0"/>
  </r>
  <r>
    <n v="36"/>
    <x v="1"/>
    <s v="Travel_Rarely"/>
    <n v="311"/>
    <x v="1"/>
    <n v="7"/>
    <n v="3"/>
    <s v="Life Sciences"/>
    <n v="1"/>
    <x v="1180"/>
    <n v="1"/>
    <s v="Male"/>
    <n v="77"/>
    <n v="3"/>
    <n v="1"/>
    <x v="2"/>
    <x v="1"/>
    <s v="Single"/>
    <n v="2013"/>
    <n v="10950"/>
    <n v="2"/>
    <s v="Y"/>
    <x v="1"/>
    <n v="11"/>
    <n v="3"/>
    <n v="3"/>
    <n v="80"/>
    <n v="0"/>
    <n v="15"/>
    <n v="4"/>
    <x v="1"/>
    <n v="4"/>
    <n v="3"/>
    <n v="1"/>
    <n v="3"/>
    <x v="1"/>
    <x v="1"/>
  </r>
  <r>
    <n v="49"/>
    <x v="1"/>
    <s v="Travel_Rarely"/>
    <n v="465"/>
    <x v="1"/>
    <n v="6"/>
    <n v="1"/>
    <s v="Life Sciences"/>
    <n v="1"/>
    <x v="1181"/>
    <n v="3"/>
    <s v="Female"/>
    <n v="41"/>
    <n v="2"/>
    <n v="4"/>
    <x v="4"/>
    <x v="2"/>
    <s v="Married"/>
    <n v="13966"/>
    <n v="11652"/>
    <n v="2"/>
    <s v="Y"/>
    <x v="0"/>
    <n v="19"/>
    <n v="3"/>
    <n v="2"/>
    <n v="80"/>
    <n v="1"/>
    <n v="30"/>
    <n v="3"/>
    <x v="1"/>
    <n v="15"/>
    <n v="11"/>
    <n v="2"/>
    <n v="12"/>
    <x v="0"/>
    <x v="2"/>
  </r>
  <r>
    <n v="36"/>
    <x v="1"/>
    <s v="Non-Travel"/>
    <n v="894"/>
    <x v="1"/>
    <n v="1"/>
    <n v="4"/>
    <s v="Medical"/>
    <n v="1"/>
    <x v="1182"/>
    <n v="4"/>
    <s v="Female"/>
    <n v="33"/>
    <n v="2"/>
    <n v="2"/>
    <x v="3"/>
    <x v="2"/>
    <s v="Married"/>
    <n v="4374"/>
    <n v="15411"/>
    <n v="0"/>
    <s v="Y"/>
    <x v="1"/>
    <n v="15"/>
    <n v="3"/>
    <n v="3"/>
    <n v="80"/>
    <n v="0"/>
    <n v="4"/>
    <n v="6"/>
    <x v="1"/>
    <n v="3"/>
    <n v="2"/>
    <n v="1"/>
    <n v="2"/>
    <x v="1"/>
    <x v="0"/>
  </r>
  <r>
    <n v="36"/>
    <x v="1"/>
    <s v="Travel_Rarely"/>
    <n v="1040"/>
    <x v="1"/>
    <n v="3"/>
    <n v="2"/>
    <s v="Life Sciences"/>
    <n v="1"/>
    <x v="1183"/>
    <n v="4"/>
    <s v="Male"/>
    <n v="79"/>
    <n v="4"/>
    <n v="2"/>
    <x v="4"/>
    <x v="3"/>
    <s v="Divorced"/>
    <n v="6842"/>
    <n v="26308"/>
    <n v="6"/>
    <s v="Y"/>
    <x v="1"/>
    <n v="20"/>
    <n v="4"/>
    <n v="1"/>
    <n v="80"/>
    <n v="1"/>
    <n v="13"/>
    <n v="3"/>
    <x v="1"/>
    <n v="5"/>
    <n v="4"/>
    <n v="0"/>
    <n v="4"/>
    <x v="1"/>
    <x v="0"/>
  </r>
  <r>
    <n v="54"/>
    <x v="1"/>
    <s v="Travel_Rarely"/>
    <n v="584"/>
    <x v="1"/>
    <n v="22"/>
    <n v="5"/>
    <s v="Medical"/>
    <n v="1"/>
    <x v="1184"/>
    <n v="2"/>
    <s v="Female"/>
    <n v="91"/>
    <n v="3"/>
    <n v="4"/>
    <x v="5"/>
    <x v="2"/>
    <s v="Married"/>
    <n v="17426"/>
    <n v="18685"/>
    <n v="3"/>
    <s v="Y"/>
    <x v="1"/>
    <n v="25"/>
    <n v="4"/>
    <n v="3"/>
    <n v="80"/>
    <n v="1"/>
    <n v="36"/>
    <n v="6"/>
    <x v="1"/>
    <n v="10"/>
    <n v="8"/>
    <n v="4"/>
    <n v="7"/>
    <x v="3"/>
    <x v="2"/>
  </r>
  <r>
    <n v="43"/>
    <x v="1"/>
    <s v="Travel_Rarely"/>
    <n v="1291"/>
    <x v="1"/>
    <n v="15"/>
    <n v="2"/>
    <s v="Life Sciences"/>
    <n v="1"/>
    <x v="1185"/>
    <n v="3"/>
    <s v="Male"/>
    <n v="65"/>
    <n v="2"/>
    <n v="4"/>
    <x v="7"/>
    <x v="2"/>
    <s v="Married"/>
    <n v="17603"/>
    <n v="3525"/>
    <n v="1"/>
    <s v="Y"/>
    <x v="1"/>
    <n v="24"/>
    <n v="4"/>
    <n v="1"/>
    <n v="80"/>
    <n v="1"/>
    <n v="14"/>
    <n v="3"/>
    <x v="1"/>
    <n v="14"/>
    <n v="10"/>
    <n v="6"/>
    <n v="11"/>
    <x v="0"/>
    <x v="2"/>
  </r>
  <r>
    <n v="35"/>
    <x v="0"/>
    <s v="Travel_Frequently"/>
    <n v="880"/>
    <x v="0"/>
    <n v="12"/>
    <n v="4"/>
    <s v="Other"/>
    <n v="1"/>
    <x v="1186"/>
    <n v="4"/>
    <s v="Male"/>
    <n v="36"/>
    <n v="3"/>
    <n v="2"/>
    <x v="0"/>
    <x v="0"/>
    <s v="Single"/>
    <n v="4581"/>
    <n v="10414"/>
    <n v="3"/>
    <s v="Y"/>
    <x v="0"/>
    <n v="24"/>
    <n v="4"/>
    <n v="1"/>
    <n v="80"/>
    <n v="0"/>
    <n v="13"/>
    <n v="2"/>
    <x v="3"/>
    <n v="11"/>
    <n v="9"/>
    <n v="6"/>
    <n v="7"/>
    <x v="1"/>
    <x v="0"/>
  </r>
  <r>
    <n v="38"/>
    <x v="1"/>
    <s v="Travel_Frequently"/>
    <n v="1189"/>
    <x v="1"/>
    <n v="1"/>
    <n v="3"/>
    <s v="Life Sciences"/>
    <n v="1"/>
    <x v="1187"/>
    <n v="4"/>
    <s v="Male"/>
    <n v="90"/>
    <n v="3"/>
    <n v="2"/>
    <x v="1"/>
    <x v="0"/>
    <s v="Married"/>
    <n v="4735"/>
    <n v="9867"/>
    <n v="7"/>
    <s v="Y"/>
    <x v="1"/>
    <n v="15"/>
    <n v="3"/>
    <n v="4"/>
    <n v="80"/>
    <n v="2"/>
    <n v="19"/>
    <n v="4"/>
    <x v="3"/>
    <n v="13"/>
    <n v="11"/>
    <n v="2"/>
    <n v="9"/>
    <x v="1"/>
    <x v="0"/>
  </r>
  <r>
    <n v="29"/>
    <x v="1"/>
    <s v="Travel_Rarely"/>
    <n v="991"/>
    <x v="0"/>
    <n v="5"/>
    <n v="3"/>
    <s v="Medical"/>
    <n v="1"/>
    <x v="1188"/>
    <n v="1"/>
    <s v="Male"/>
    <n v="43"/>
    <n v="2"/>
    <n v="2"/>
    <x v="0"/>
    <x v="1"/>
    <s v="Divorced"/>
    <n v="4187"/>
    <n v="3356"/>
    <n v="1"/>
    <s v="Y"/>
    <x v="0"/>
    <n v="13"/>
    <n v="3"/>
    <n v="2"/>
    <n v="80"/>
    <n v="1"/>
    <n v="10"/>
    <n v="3"/>
    <x v="2"/>
    <n v="10"/>
    <n v="0"/>
    <n v="0"/>
    <n v="9"/>
    <x v="2"/>
    <x v="0"/>
  </r>
  <r>
    <n v="33"/>
    <x v="1"/>
    <s v="Travel_Rarely"/>
    <n v="392"/>
    <x v="0"/>
    <n v="2"/>
    <n v="4"/>
    <s v="Medical"/>
    <n v="1"/>
    <x v="1189"/>
    <n v="4"/>
    <s v="Male"/>
    <n v="93"/>
    <n v="3"/>
    <n v="2"/>
    <x v="0"/>
    <x v="0"/>
    <s v="Divorced"/>
    <n v="5505"/>
    <n v="3921"/>
    <n v="1"/>
    <s v="Y"/>
    <x v="1"/>
    <n v="14"/>
    <n v="3"/>
    <n v="3"/>
    <n v="80"/>
    <n v="2"/>
    <n v="6"/>
    <n v="5"/>
    <x v="1"/>
    <n v="6"/>
    <n v="2"/>
    <n v="0"/>
    <n v="4"/>
    <x v="1"/>
    <x v="0"/>
  </r>
  <r>
    <n v="32"/>
    <x v="1"/>
    <s v="Travel_Rarely"/>
    <n v="977"/>
    <x v="1"/>
    <n v="2"/>
    <n v="3"/>
    <s v="Medical"/>
    <n v="1"/>
    <x v="1190"/>
    <n v="4"/>
    <s v="Male"/>
    <n v="45"/>
    <n v="3"/>
    <n v="2"/>
    <x v="1"/>
    <x v="1"/>
    <s v="Divorced"/>
    <n v="5470"/>
    <n v="25518"/>
    <n v="0"/>
    <s v="Y"/>
    <x v="1"/>
    <n v="13"/>
    <n v="3"/>
    <n v="3"/>
    <n v="80"/>
    <n v="2"/>
    <n v="10"/>
    <n v="4"/>
    <x v="2"/>
    <n v="9"/>
    <n v="5"/>
    <n v="1"/>
    <n v="6"/>
    <x v="1"/>
    <x v="0"/>
  </r>
  <r>
    <n v="31"/>
    <x v="1"/>
    <s v="Travel_Rarely"/>
    <n v="1112"/>
    <x v="0"/>
    <n v="5"/>
    <n v="4"/>
    <s v="Life Sciences"/>
    <n v="1"/>
    <x v="1191"/>
    <n v="1"/>
    <s v="Female"/>
    <n v="67"/>
    <n v="3"/>
    <n v="2"/>
    <x v="0"/>
    <x v="0"/>
    <s v="Married"/>
    <n v="5476"/>
    <n v="22589"/>
    <n v="1"/>
    <s v="Y"/>
    <x v="1"/>
    <n v="11"/>
    <n v="3"/>
    <n v="1"/>
    <n v="80"/>
    <n v="2"/>
    <n v="10"/>
    <n v="2"/>
    <x v="1"/>
    <n v="10"/>
    <n v="0"/>
    <n v="0"/>
    <n v="2"/>
    <x v="1"/>
    <x v="0"/>
  </r>
  <r>
    <n v="49"/>
    <x v="1"/>
    <s v="Travel_Rarely"/>
    <n v="464"/>
    <x v="1"/>
    <n v="16"/>
    <n v="3"/>
    <s v="Medical"/>
    <n v="1"/>
    <x v="1192"/>
    <n v="4"/>
    <s v="Female"/>
    <n v="74"/>
    <n v="3"/>
    <n v="1"/>
    <x v="2"/>
    <x v="3"/>
    <s v="Divorced"/>
    <n v="2587"/>
    <n v="24941"/>
    <n v="4"/>
    <s v="Y"/>
    <x v="0"/>
    <n v="16"/>
    <n v="3"/>
    <n v="2"/>
    <n v="80"/>
    <n v="1"/>
    <n v="17"/>
    <n v="2"/>
    <x v="2"/>
    <n v="2"/>
    <n v="2"/>
    <n v="2"/>
    <n v="2"/>
    <x v="0"/>
    <x v="1"/>
  </r>
  <r>
    <n v="38"/>
    <x v="1"/>
    <s v="Travel_Frequently"/>
    <n v="148"/>
    <x v="1"/>
    <n v="2"/>
    <n v="3"/>
    <s v="Medical"/>
    <n v="1"/>
    <x v="1193"/>
    <n v="4"/>
    <s v="Female"/>
    <n v="42"/>
    <n v="2"/>
    <n v="1"/>
    <x v="2"/>
    <x v="1"/>
    <s v="Single"/>
    <n v="2440"/>
    <n v="23826"/>
    <n v="1"/>
    <s v="Y"/>
    <x v="1"/>
    <n v="22"/>
    <n v="4"/>
    <n v="2"/>
    <n v="80"/>
    <n v="0"/>
    <n v="4"/>
    <n v="3"/>
    <x v="1"/>
    <n v="4"/>
    <n v="3"/>
    <n v="3"/>
    <n v="3"/>
    <x v="1"/>
    <x v="1"/>
  </r>
  <r>
    <n v="47"/>
    <x v="1"/>
    <s v="Travel_Rarely"/>
    <n v="1225"/>
    <x v="0"/>
    <n v="2"/>
    <n v="4"/>
    <s v="Life Sciences"/>
    <n v="1"/>
    <x v="1194"/>
    <n v="2"/>
    <s v="Female"/>
    <n v="47"/>
    <n v="4"/>
    <n v="4"/>
    <x v="5"/>
    <x v="1"/>
    <s v="Divorced"/>
    <n v="15972"/>
    <n v="21086"/>
    <n v="6"/>
    <s v="Y"/>
    <x v="1"/>
    <n v="14"/>
    <n v="3"/>
    <n v="3"/>
    <n v="80"/>
    <n v="3"/>
    <n v="29"/>
    <n v="2"/>
    <x v="1"/>
    <n v="3"/>
    <n v="2"/>
    <n v="1"/>
    <n v="2"/>
    <x v="0"/>
    <x v="2"/>
  </r>
  <r>
    <n v="49"/>
    <x v="1"/>
    <s v="Travel_Rarely"/>
    <n v="809"/>
    <x v="1"/>
    <n v="1"/>
    <n v="3"/>
    <s v="Life Sciences"/>
    <n v="1"/>
    <x v="1195"/>
    <n v="3"/>
    <s v="Male"/>
    <n v="36"/>
    <n v="3"/>
    <n v="4"/>
    <x v="5"/>
    <x v="2"/>
    <s v="Single"/>
    <n v="15379"/>
    <n v="22384"/>
    <n v="4"/>
    <s v="Y"/>
    <x v="1"/>
    <n v="14"/>
    <n v="3"/>
    <n v="1"/>
    <n v="80"/>
    <n v="0"/>
    <n v="23"/>
    <n v="2"/>
    <x v="1"/>
    <n v="8"/>
    <n v="7"/>
    <n v="0"/>
    <n v="0"/>
    <x v="0"/>
    <x v="2"/>
  </r>
  <r>
    <n v="41"/>
    <x v="1"/>
    <s v="Travel_Rarely"/>
    <n v="1206"/>
    <x v="0"/>
    <n v="23"/>
    <n v="2"/>
    <s v="Life Sciences"/>
    <n v="1"/>
    <x v="1196"/>
    <n v="4"/>
    <s v="Male"/>
    <n v="80"/>
    <n v="3"/>
    <n v="3"/>
    <x v="0"/>
    <x v="2"/>
    <s v="Single"/>
    <n v="7082"/>
    <n v="11591"/>
    <n v="3"/>
    <s v="Y"/>
    <x v="0"/>
    <n v="16"/>
    <n v="3"/>
    <n v="4"/>
    <n v="80"/>
    <n v="0"/>
    <n v="21"/>
    <n v="2"/>
    <x v="1"/>
    <n v="2"/>
    <n v="0"/>
    <n v="0"/>
    <n v="2"/>
    <x v="0"/>
    <x v="2"/>
  </r>
  <r>
    <n v="20"/>
    <x v="1"/>
    <s v="Travel_Rarely"/>
    <n v="727"/>
    <x v="0"/>
    <n v="9"/>
    <n v="1"/>
    <s v="Life Sciences"/>
    <n v="1"/>
    <x v="1197"/>
    <n v="4"/>
    <s v="Male"/>
    <n v="54"/>
    <n v="3"/>
    <n v="1"/>
    <x v="6"/>
    <x v="3"/>
    <s v="Single"/>
    <n v="2728"/>
    <n v="21082"/>
    <n v="1"/>
    <s v="Y"/>
    <x v="1"/>
    <n v="11"/>
    <n v="3"/>
    <n v="1"/>
    <n v="80"/>
    <n v="0"/>
    <n v="2"/>
    <n v="3"/>
    <x v="1"/>
    <n v="2"/>
    <n v="2"/>
    <n v="0"/>
    <n v="2"/>
    <x v="2"/>
    <x v="1"/>
  </r>
  <r>
    <n v="33"/>
    <x v="1"/>
    <s v="Non-Travel"/>
    <n v="530"/>
    <x v="0"/>
    <n v="16"/>
    <n v="3"/>
    <s v="Life Sciences"/>
    <n v="1"/>
    <x v="1198"/>
    <n v="3"/>
    <s v="Female"/>
    <n v="36"/>
    <n v="3"/>
    <n v="2"/>
    <x v="0"/>
    <x v="0"/>
    <s v="Divorced"/>
    <n v="5368"/>
    <n v="16130"/>
    <n v="1"/>
    <s v="Y"/>
    <x v="0"/>
    <n v="25"/>
    <n v="4"/>
    <n v="3"/>
    <n v="80"/>
    <n v="1"/>
    <n v="7"/>
    <n v="2"/>
    <x v="1"/>
    <n v="6"/>
    <n v="5"/>
    <n v="1"/>
    <n v="2"/>
    <x v="1"/>
    <x v="0"/>
  </r>
  <r>
    <n v="36"/>
    <x v="1"/>
    <s v="Travel_Rarely"/>
    <n v="1351"/>
    <x v="1"/>
    <n v="26"/>
    <n v="4"/>
    <s v="Life Sciences"/>
    <n v="1"/>
    <x v="1199"/>
    <n v="1"/>
    <s v="Male"/>
    <n v="80"/>
    <n v="3"/>
    <n v="2"/>
    <x v="4"/>
    <x v="2"/>
    <s v="Married"/>
    <n v="5347"/>
    <n v="7419"/>
    <n v="6"/>
    <s v="Y"/>
    <x v="1"/>
    <n v="14"/>
    <n v="3"/>
    <n v="2"/>
    <n v="80"/>
    <n v="2"/>
    <n v="10"/>
    <n v="2"/>
    <x v="2"/>
    <n v="3"/>
    <n v="2"/>
    <n v="0"/>
    <n v="2"/>
    <x v="1"/>
    <x v="0"/>
  </r>
  <r>
    <n v="44"/>
    <x v="1"/>
    <s v="Travel_Rarely"/>
    <n v="528"/>
    <x v="2"/>
    <n v="1"/>
    <n v="3"/>
    <s v="Life Sciences"/>
    <n v="1"/>
    <x v="1200"/>
    <n v="3"/>
    <s v="Female"/>
    <n v="44"/>
    <n v="3"/>
    <n v="1"/>
    <x v="8"/>
    <x v="0"/>
    <s v="Divorced"/>
    <n v="3195"/>
    <n v="4167"/>
    <n v="4"/>
    <s v="Y"/>
    <x v="0"/>
    <n v="18"/>
    <n v="3"/>
    <n v="1"/>
    <n v="80"/>
    <n v="3"/>
    <n v="8"/>
    <n v="2"/>
    <x v="1"/>
    <n v="2"/>
    <n v="2"/>
    <n v="2"/>
    <n v="2"/>
    <x v="0"/>
    <x v="1"/>
  </r>
  <r>
    <n v="23"/>
    <x v="0"/>
    <s v="Travel_Rarely"/>
    <n v="1320"/>
    <x v="1"/>
    <n v="8"/>
    <n v="1"/>
    <s v="Medical"/>
    <n v="1"/>
    <x v="1201"/>
    <n v="4"/>
    <s v="Male"/>
    <n v="93"/>
    <n v="2"/>
    <n v="1"/>
    <x v="2"/>
    <x v="2"/>
    <s v="Single"/>
    <n v="3989"/>
    <n v="20586"/>
    <n v="1"/>
    <s v="Y"/>
    <x v="0"/>
    <n v="11"/>
    <n v="3"/>
    <n v="1"/>
    <n v="80"/>
    <n v="0"/>
    <n v="5"/>
    <n v="2"/>
    <x v="1"/>
    <n v="5"/>
    <n v="4"/>
    <n v="1"/>
    <n v="2"/>
    <x v="2"/>
    <x v="1"/>
  </r>
  <r>
    <n v="38"/>
    <x v="1"/>
    <s v="Travel_Rarely"/>
    <n v="1495"/>
    <x v="1"/>
    <n v="4"/>
    <n v="2"/>
    <s v="Medical"/>
    <n v="1"/>
    <x v="1202"/>
    <n v="4"/>
    <s v="Female"/>
    <n v="87"/>
    <n v="3"/>
    <n v="1"/>
    <x v="2"/>
    <x v="2"/>
    <s v="Married"/>
    <n v="3306"/>
    <n v="26176"/>
    <n v="7"/>
    <s v="Y"/>
    <x v="1"/>
    <n v="19"/>
    <n v="3"/>
    <n v="4"/>
    <n v="80"/>
    <n v="1"/>
    <n v="7"/>
    <n v="5"/>
    <x v="2"/>
    <n v="0"/>
    <n v="0"/>
    <n v="0"/>
    <n v="0"/>
    <x v="1"/>
    <x v="1"/>
  </r>
  <r>
    <n v="53"/>
    <x v="1"/>
    <s v="Travel_Rarely"/>
    <n v="1395"/>
    <x v="1"/>
    <n v="24"/>
    <n v="4"/>
    <s v="Medical"/>
    <n v="1"/>
    <x v="1203"/>
    <n v="2"/>
    <s v="Male"/>
    <n v="48"/>
    <n v="4"/>
    <n v="3"/>
    <x v="4"/>
    <x v="0"/>
    <s v="Married"/>
    <n v="7005"/>
    <n v="3458"/>
    <n v="3"/>
    <s v="Y"/>
    <x v="1"/>
    <n v="15"/>
    <n v="3"/>
    <n v="3"/>
    <n v="80"/>
    <n v="0"/>
    <n v="11"/>
    <n v="2"/>
    <x v="1"/>
    <n v="4"/>
    <n v="3"/>
    <n v="1"/>
    <n v="2"/>
    <x v="3"/>
    <x v="2"/>
  </r>
  <r>
    <n v="48"/>
    <x v="0"/>
    <s v="Travel_Frequently"/>
    <n v="708"/>
    <x v="0"/>
    <n v="7"/>
    <n v="2"/>
    <s v="Medical"/>
    <n v="1"/>
    <x v="1204"/>
    <n v="4"/>
    <s v="Female"/>
    <n v="95"/>
    <n v="3"/>
    <n v="1"/>
    <x v="6"/>
    <x v="2"/>
    <s v="Married"/>
    <n v="2655"/>
    <n v="11740"/>
    <n v="2"/>
    <s v="Y"/>
    <x v="0"/>
    <n v="11"/>
    <n v="3"/>
    <n v="3"/>
    <n v="80"/>
    <n v="2"/>
    <n v="19"/>
    <n v="3"/>
    <x v="1"/>
    <n v="9"/>
    <n v="7"/>
    <n v="7"/>
    <n v="7"/>
    <x v="0"/>
    <x v="1"/>
  </r>
  <r>
    <n v="32"/>
    <x v="0"/>
    <s v="Travel_Rarely"/>
    <n v="1259"/>
    <x v="1"/>
    <n v="2"/>
    <n v="4"/>
    <s v="Life Sciences"/>
    <n v="1"/>
    <x v="1205"/>
    <n v="4"/>
    <s v="Male"/>
    <n v="95"/>
    <n v="3"/>
    <n v="1"/>
    <x v="2"/>
    <x v="1"/>
    <s v="Single"/>
    <n v="1393"/>
    <n v="24852"/>
    <n v="1"/>
    <s v="Y"/>
    <x v="1"/>
    <n v="12"/>
    <n v="3"/>
    <n v="1"/>
    <n v="80"/>
    <n v="0"/>
    <n v="1"/>
    <n v="2"/>
    <x v="1"/>
    <n v="1"/>
    <n v="0"/>
    <n v="0"/>
    <n v="0"/>
    <x v="1"/>
    <x v="1"/>
  </r>
  <r>
    <n v="26"/>
    <x v="1"/>
    <s v="Non-Travel"/>
    <n v="786"/>
    <x v="1"/>
    <n v="7"/>
    <n v="3"/>
    <s v="Medical"/>
    <n v="1"/>
    <x v="1206"/>
    <n v="4"/>
    <s v="Male"/>
    <n v="76"/>
    <n v="3"/>
    <n v="1"/>
    <x v="2"/>
    <x v="0"/>
    <s v="Single"/>
    <n v="2570"/>
    <n v="11925"/>
    <n v="1"/>
    <s v="Y"/>
    <x v="1"/>
    <n v="20"/>
    <n v="4"/>
    <n v="3"/>
    <n v="80"/>
    <n v="0"/>
    <n v="7"/>
    <n v="5"/>
    <x v="1"/>
    <n v="7"/>
    <n v="7"/>
    <n v="5"/>
    <n v="7"/>
    <x v="2"/>
    <x v="1"/>
  </r>
  <r>
    <n v="55"/>
    <x v="1"/>
    <s v="Travel_Rarely"/>
    <n v="1441"/>
    <x v="1"/>
    <n v="22"/>
    <n v="3"/>
    <s v="Technical Degree"/>
    <n v="1"/>
    <x v="1207"/>
    <n v="1"/>
    <s v="Male"/>
    <n v="94"/>
    <n v="2"/>
    <n v="1"/>
    <x v="1"/>
    <x v="1"/>
    <s v="Divorced"/>
    <n v="3537"/>
    <n v="23737"/>
    <n v="5"/>
    <s v="Y"/>
    <x v="1"/>
    <n v="12"/>
    <n v="3"/>
    <n v="4"/>
    <n v="80"/>
    <n v="1"/>
    <n v="8"/>
    <n v="1"/>
    <x v="1"/>
    <n v="4"/>
    <n v="2"/>
    <n v="1"/>
    <n v="2"/>
    <x v="3"/>
    <x v="1"/>
  </r>
  <r>
    <n v="34"/>
    <x v="1"/>
    <s v="Travel_Rarely"/>
    <n v="1157"/>
    <x v="1"/>
    <n v="5"/>
    <n v="2"/>
    <s v="Medical"/>
    <n v="1"/>
    <x v="1208"/>
    <n v="2"/>
    <s v="Male"/>
    <n v="57"/>
    <n v="2"/>
    <n v="2"/>
    <x v="2"/>
    <x v="0"/>
    <s v="Married"/>
    <n v="3986"/>
    <n v="11912"/>
    <n v="1"/>
    <s v="Y"/>
    <x v="1"/>
    <n v="14"/>
    <n v="3"/>
    <n v="3"/>
    <n v="80"/>
    <n v="1"/>
    <n v="15"/>
    <n v="3"/>
    <x v="3"/>
    <n v="15"/>
    <n v="10"/>
    <n v="4"/>
    <n v="13"/>
    <x v="1"/>
    <x v="1"/>
  </r>
  <r>
    <n v="60"/>
    <x v="1"/>
    <s v="Travel_Rarely"/>
    <n v="370"/>
    <x v="1"/>
    <n v="1"/>
    <n v="4"/>
    <s v="Medical"/>
    <n v="1"/>
    <x v="1209"/>
    <n v="3"/>
    <s v="Male"/>
    <n v="92"/>
    <n v="1"/>
    <n v="3"/>
    <x v="4"/>
    <x v="0"/>
    <s v="Divorced"/>
    <n v="10883"/>
    <n v="20467"/>
    <n v="3"/>
    <s v="Y"/>
    <x v="1"/>
    <n v="20"/>
    <n v="4"/>
    <n v="3"/>
    <n v="80"/>
    <n v="1"/>
    <n v="19"/>
    <n v="2"/>
    <x v="3"/>
    <n v="1"/>
    <n v="0"/>
    <n v="0"/>
    <n v="0"/>
    <x v="3"/>
    <x v="2"/>
  </r>
  <r>
    <n v="33"/>
    <x v="1"/>
    <s v="Travel_Rarely"/>
    <n v="267"/>
    <x v="1"/>
    <n v="21"/>
    <n v="3"/>
    <s v="Medical"/>
    <n v="1"/>
    <x v="1210"/>
    <n v="2"/>
    <s v="Male"/>
    <n v="79"/>
    <n v="4"/>
    <n v="1"/>
    <x v="2"/>
    <x v="1"/>
    <s v="Married"/>
    <n v="2028"/>
    <n v="13637"/>
    <n v="1"/>
    <s v="Y"/>
    <x v="1"/>
    <n v="18"/>
    <n v="3"/>
    <n v="4"/>
    <n v="80"/>
    <n v="3"/>
    <n v="14"/>
    <n v="6"/>
    <x v="1"/>
    <n v="14"/>
    <n v="11"/>
    <n v="2"/>
    <n v="13"/>
    <x v="1"/>
    <x v="1"/>
  </r>
  <r>
    <n v="37"/>
    <x v="1"/>
    <s v="Travel_Frequently"/>
    <n v="1278"/>
    <x v="0"/>
    <n v="1"/>
    <n v="4"/>
    <s v="Medical"/>
    <n v="1"/>
    <x v="1211"/>
    <n v="3"/>
    <s v="Male"/>
    <n v="31"/>
    <n v="1"/>
    <n v="2"/>
    <x v="0"/>
    <x v="0"/>
    <s v="Divorced"/>
    <n v="9525"/>
    <n v="7677"/>
    <n v="1"/>
    <s v="Y"/>
    <x v="1"/>
    <n v="14"/>
    <n v="3"/>
    <n v="3"/>
    <n v="80"/>
    <n v="2"/>
    <n v="6"/>
    <n v="2"/>
    <x v="2"/>
    <n v="6"/>
    <n v="3"/>
    <n v="1"/>
    <n v="3"/>
    <x v="1"/>
    <x v="2"/>
  </r>
  <r>
    <n v="34"/>
    <x v="1"/>
    <s v="Travel_Rarely"/>
    <n v="678"/>
    <x v="1"/>
    <n v="19"/>
    <n v="3"/>
    <s v="Life Sciences"/>
    <n v="1"/>
    <x v="1212"/>
    <n v="2"/>
    <s v="Female"/>
    <n v="35"/>
    <n v="2"/>
    <n v="1"/>
    <x v="1"/>
    <x v="0"/>
    <s v="Married"/>
    <n v="2929"/>
    <n v="20338"/>
    <n v="1"/>
    <s v="Y"/>
    <x v="1"/>
    <n v="12"/>
    <n v="3"/>
    <n v="2"/>
    <n v="80"/>
    <n v="0"/>
    <n v="10"/>
    <n v="3"/>
    <x v="1"/>
    <n v="10"/>
    <n v="9"/>
    <n v="8"/>
    <n v="7"/>
    <x v="1"/>
    <x v="1"/>
  </r>
  <r>
    <n v="23"/>
    <x v="0"/>
    <s v="Travel_Rarely"/>
    <n v="427"/>
    <x v="0"/>
    <n v="7"/>
    <n v="3"/>
    <s v="Life Sciences"/>
    <n v="1"/>
    <x v="1213"/>
    <n v="3"/>
    <s v="Male"/>
    <n v="99"/>
    <n v="3"/>
    <n v="1"/>
    <x v="6"/>
    <x v="0"/>
    <s v="Divorced"/>
    <n v="2275"/>
    <n v="25103"/>
    <n v="1"/>
    <s v="Y"/>
    <x v="0"/>
    <n v="21"/>
    <n v="4"/>
    <n v="2"/>
    <n v="80"/>
    <n v="1"/>
    <n v="3"/>
    <n v="2"/>
    <x v="1"/>
    <n v="3"/>
    <n v="2"/>
    <n v="0"/>
    <n v="2"/>
    <x v="2"/>
    <x v="1"/>
  </r>
  <r>
    <n v="44"/>
    <x v="1"/>
    <s v="Travel_Rarely"/>
    <n v="921"/>
    <x v="1"/>
    <n v="2"/>
    <n v="3"/>
    <s v="Life Sciences"/>
    <n v="1"/>
    <x v="1214"/>
    <n v="3"/>
    <s v="Female"/>
    <n v="96"/>
    <n v="4"/>
    <n v="3"/>
    <x v="4"/>
    <x v="0"/>
    <s v="Married"/>
    <n v="7879"/>
    <n v="14810"/>
    <n v="1"/>
    <s v="Y"/>
    <x v="0"/>
    <n v="19"/>
    <n v="3"/>
    <n v="2"/>
    <n v="80"/>
    <n v="1"/>
    <n v="9"/>
    <n v="2"/>
    <x v="1"/>
    <n v="8"/>
    <n v="7"/>
    <n v="6"/>
    <n v="7"/>
    <x v="0"/>
    <x v="2"/>
  </r>
  <r>
    <n v="35"/>
    <x v="1"/>
    <s v="Travel_Frequently"/>
    <n v="146"/>
    <x v="1"/>
    <n v="2"/>
    <n v="4"/>
    <s v="Medical"/>
    <n v="1"/>
    <x v="1215"/>
    <n v="1"/>
    <s v="Male"/>
    <n v="79"/>
    <n v="2"/>
    <n v="1"/>
    <x v="1"/>
    <x v="0"/>
    <s v="Single"/>
    <n v="4930"/>
    <n v="13970"/>
    <n v="0"/>
    <s v="Y"/>
    <x v="0"/>
    <n v="14"/>
    <n v="3"/>
    <n v="3"/>
    <n v="80"/>
    <n v="0"/>
    <n v="6"/>
    <n v="2"/>
    <x v="3"/>
    <n v="5"/>
    <n v="4"/>
    <n v="1"/>
    <n v="4"/>
    <x v="1"/>
    <x v="0"/>
  </r>
  <r>
    <n v="43"/>
    <x v="1"/>
    <s v="Travel_Rarely"/>
    <n v="1179"/>
    <x v="0"/>
    <n v="2"/>
    <n v="3"/>
    <s v="Medical"/>
    <n v="1"/>
    <x v="1216"/>
    <n v="4"/>
    <s v="Male"/>
    <n v="73"/>
    <n v="3"/>
    <n v="2"/>
    <x v="0"/>
    <x v="0"/>
    <s v="Married"/>
    <n v="7847"/>
    <n v="6069"/>
    <n v="1"/>
    <s v="Y"/>
    <x v="0"/>
    <n v="17"/>
    <n v="3"/>
    <n v="1"/>
    <n v="80"/>
    <n v="1"/>
    <n v="10"/>
    <n v="3"/>
    <x v="1"/>
    <n v="10"/>
    <n v="9"/>
    <n v="8"/>
    <n v="8"/>
    <x v="0"/>
    <x v="2"/>
  </r>
  <r>
    <n v="24"/>
    <x v="1"/>
    <s v="Travel_Rarely"/>
    <n v="581"/>
    <x v="1"/>
    <n v="9"/>
    <n v="3"/>
    <s v="Medical"/>
    <n v="1"/>
    <x v="1217"/>
    <n v="3"/>
    <s v="Male"/>
    <n v="62"/>
    <n v="4"/>
    <n v="1"/>
    <x v="1"/>
    <x v="2"/>
    <s v="Married"/>
    <n v="4401"/>
    <n v="17616"/>
    <n v="1"/>
    <s v="Y"/>
    <x v="1"/>
    <n v="16"/>
    <n v="3"/>
    <n v="4"/>
    <n v="80"/>
    <n v="1"/>
    <n v="5"/>
    <n v="1"/>
    <x v="1"/>
    <n v="5"/>
    <n v="3"/>
    <n v="0"/>
    <n v="4"/>
    <x v="2"/>
    <x v="0"/>
  </r>
  <r>
    <n v="41"/>
    <x v="1"/>
    <s v="Travel_Rarely"/>
    <n v="918"/>
    <x v="0"/>
    <n v="6"/>
    <n v="3"/>
    <s v="Marketing"/>
    <n v="1"/>
    <x v="1218"/>
    <n v="4"/>
    <s v="Male"/>
    <n v="35"/>
    <n v="3"/>
    <n v="3"/>
    <x v="0"/>
    <x v="2"/>
    <s v="Single"/>
    <n v="9241"/>
    <n v="15869"/>
    <n v="1"/>
    <s v="Y"/>
    <x v="1"/>
    <n v="12"/>
    <n v="3"/>
    <n v="2"/>
    <n v="80"/>
    <n v="0"/>
    <n v="10"/>
    <n v="3"/>
    <x v="1"/>
    <n v="10"/>
    <n v="8"/>
    <n v="8"/>
    <n v="7"/>
    <x v="0"/>
    <x v="2"/>
  </r>
  <r>
    <n v="29"/>
    <x v="1"/>
    <s v="Travel_Rarely"/>
    <n v="1082"/>
    <x v="1"/>
    <n v="9"/>
    <n v="4"/>
    <s v="Medical"/>
    <n v="1"/>
    <x v="1219"/>
    <n v="4"/>
    <s v="Female"/>
    <n v="43"/>
    <n v="3"/>
    <n v="1"/>
    <x v="2"/>
    <x v="2"/>
    <s v="Married"/>
    <n v="2974"/>
    <n v="25412"/>
    <n v="9"/>
    <s v="Y"/>
    <x v="1"/>
    <n v="17"/>
    <n v="3"/>
    <n v="3"/>
    <n v="80"/>
    <n v="1"/>
    <n v="9"/>
    <n v="2"/>
    <x v="1"/>
    <n v="5"/>
    <n v="3"/>
    <n v="1"/>
    <n v="2"/>
    <x v="2"/>
    <x v="1"/>
  </r>
  <r>
    <n v="36"/>
    <x v="1"/>
    <s v="Travel_Rarely"/>
    <n v="530"/>
    <x v="0"/>
    <n v="2"/>
    <n v="4"/>
    <s v="Life Sciences"/>
    <n v="1"/>
    <x v="1220"/>
    <n v="3"/>
    <s v="Female"/>
    <n v="51"/>
    <n v="3"/>
    <n v="2"/>
    <x v="6"/>
    <x v="0"/>
    <s v="Single"/>
    <n v="4502"/>
    <n v="7439"/>
    <n v="3"/>
    <s v="Y"/>
    <x v="1"/>
    <n v="15"/>
    <n v="3"/>
    <n v="3"/>
    <n v="80"/>
    <n v="0"/>
    <n v="17"/>
    <n v="2"/>
    <x v="2"/>
    <n v="13"/>
    <n v="7"/>
    <n v="6"/>
    <n v="7"/>
    <x v="1"/>
    <x v="0"/>
  </r>
  <r>
    <n v="45"/>
    <x v="1"/>
    <s v="Non-Travel"/>
    <n v="1238"/>
    <x v="1"/>
    <n v="1"/>
    <n v="1"/>
    <s v="Life Sciences"/>
    <n v="1"/>
    <x v="1221"/>
    <n v="3"/>
    <s v="Male"/>
    <n v="74"/>
    <n v="2"/>
    <n v="3"/>
    <x v="4"/>
    <x v="2"/>
    <s v="Married"/>
    <n v="10748"/>
    <n v="3395"/>
    <n v="3"/>
    <s v="Y"/>
    <x v="1"/>
    <n v="23"/>
    <n v="4"/>
    <n v="4"/>
    <n v="80"/>
    <n v="1"/>
    <n v="25"/>
    <n v="3"/>
    <x v="2"/>
    <n v="23"/>
    <n v="15"/>
    <n v="14"/>
    <n v="4"/>
    <x v="0"/>
    <x v="2"/>
  </r>
  <r>
    <n v="24"/>
    <x v="0"/>
    <s v="Travel_Rarely"/>
    <n v="240"/>
    <x v="2"/>
    <n v="22"/>
    <n v="1"/>
    <s v="Human Resources"/>
    <n v="1"/>
    <x v="1222"/>
    <n v="4"/>
    <s v="Male"/>
    <n v="58"/>
    <n v="1"/>
    <n v="1"/>
    <x v="8"/>
    <x v="2"/>
    <s v="Married"/>
    <n v="1555"/>
    <n v="11585"/>
    <n v="1"/>
    <s v="Y"/>
    <x v="1"/>
    <n v="11"/>
    <n v="3"/>
    <n v="3"/>
    <n v="80"/>
    <n v="1"/>
    <n v="1"/>
    <n v="2"/>
    <x v="1"/>
    <n v="1"/>
    <n v="0"/>
    <n v="0"/>
    <n v="0"/>
    <x v="2"/>
    <x v="1"/>
  </r>
  <r>
    <n v="47"/>
    <x v="0"/>
    <s v="Travel_Frequently"/>
    <n v="1093"/>
    <x v="0"/>
    <n v="9"/>
    <n v="3"/>
    <s v="Life Sciences"/>
    <n v="1"/>
    <x v="1223"/>
    <n v="3"/>
    <s v="Male"/>
    <n v="82"/>
    <n v="1"/>
    <n v="4"/>
    <x v="0"/>
    <x v="2"/>
    <s v="Married"/>
    <n v="12936"/>
    <n v="24164"/>
    <n v="7"/>
    <s v="Y"/>
    <x v="1"/>
    <n v="11"/>
    <n v="3"/>
    <n v="3"/>
    <n v="80"/>
    <n v="0"/>
    <n v="25"/>
    <n v="3"/>
    <x v="0"/>
    <n v="23"/>
    <n v="5"/>
    <n v="14"/>
    <n v="10"/>
    <x v="0"/>
    <x v="2"/>
  </r>
  <r>
    <n v="26"/>
    <x v="1"/>
    <s v="Travel_Rarely"/>
    <n v="390"/>
    <x v="1"/>
    <n v="17"/>
    <n v="4"/>
    <s v="Medical"/>
    <n v="1"/>
    <x v="1224"/>
    <n v="4"/>
    <s v="Male"/>
    <n v="62"/>
    <n v="1"/>
    <n v="1"/>
    <x v="2"/>
    <x v="2"/>
    <s v="Married"/>
    <n v="2305"/>
    <n v="6217"/>
    <n v="1"/>
    <s v="Y"/>
    <x v="1"/>
    <n v="15"/>
    <n v="3"/>
    <n v="3"/>
    <n v="80"/>
    <n v="3"/>
    <n v="3"/>
    <n v="3"/>
    <x v="3"/>
    <n v="3"/>
    <n v="2"/>
    <n v="0"/>
    <n v="2"/>
    <x v="2"/>
    <x v="1"/>
  </r>
  <r>
    <n v="45"/>
    <x v="1"/>
    <s v="Travel_Rarely"/>
    <n v="1005"/>
    <x v="1"/>
    <n v="28"/>
    <n v="2"/>
    <s v="Technical Degree"/>
    <n v="1"/>
    <x v="1225"/>
    <n v="4"/>
    <s v="Female"/>
    <n v="48"/>
    <n v="2"/>
    <n v="4"/>
    <x v="7"/>
    <x v="1"/>
    <s v="Single"/>
    <n v="16704"/>
    <n v="17119"/>
    <n v="1"/>
    <s v="Y"/>
    <x v="1"/>
    <n v="11"/>
    <n v="3"/>
    <n v="3"/>
    <n v="80"/>
    <n v="0"/>
    <n v="21"/>
    <n v="2"/>
    <x v="1"/>
    <n v="21"/>
    <n v="6"/>
    <n v="8"/>
    <n v="6"/>
    <x v="0"/>
    <x v="2"/>
  </r>
  <r>
    <n v="32"/>
    <x v="1"/>
    <s v="Travel_Frequently"/>
    <n v="585"/>
    <x v="1"/>
    <n v="10"/>
    <n v="3"/>
    <s v="Life Sciences"/>
    <n v="1"/>
    <x v="1226"/>
    <n v="1"/>
    <s v="Male"/>
    <n v="56"/>
    <n v="3"/>
    <n v="1"/>
    <x v="1"/>
    <x v="2"/>
    <s v="Married"/>
    <n v="3433"/>
    <n v="17360"/>
    <n v="6"/>
    <s v="Y"/>
    <x v="1"/>
    <n v="13"/>
    <n v="3"/>
    <n v="1"/>
    <n v="80"/>
    <n v="1"/>
    <n v="10"/>
    <n v="3"/>
    <x v="2"/>
    <n v="5"/>
    <n v="2"/>
    <n v="1"/>
    <n v="3"/>
    <x v="1"/>
    <x v="1"/>
  </r>
  <r>
    <n v="31"/>
    <x v="1"/>
    <s v="Travel_Rarely"/>
    <n v="741"/>
    <x v="1"/>
    <n v="2"/>
    <n v="4"/>
    <s v="Life Sciences"/>
    <n v="1"/>
    <x v="1227"/>
    <n v="2"/>
    <s v="Male"/>
    <n v="69"/>
    <n v="3"/>
    <n v="1"/>
    <x v="2"/>
    <x v="2"/>
    <s v="Married"/>
    <n v="3477"/>
    <n v="18103"/>
    <n v="1"/>
    <s v="Y"/>
    <x v="1"/>
    <n v="14"/>
    <n v="3"/>
    <n v="4"/>
    <n v="80"/>
    <n v="1"/>
    <n v="6"/>
    <n v="2"/>
    <x v="3"/>
    <n v="5"/>
    <n v="2"/>
    <n v="0"/>
    <n v="3"/>
    <x v="1"/>
    <x v="1"/>
  </r>
  <r>
    <n v="41"/>
    <x v="1"/>
    <s v="Non-Travel"/>
    <n v="552"/>
    <x v="2"/>
    <n v="4"/>
    <n v="3"/>
    <s v="Human Resources"/>
    <n v="1"/>
    <x v="1228"/>
    <n v="3"/>
    <s v="Male"/>
    <n v="60"/>
    <n v="1"/>
    <n v="2"/>
    <x v="8"/>
    <x v="1"/>
    <s v="Married"/>
    <n v="6430"/>
    <n v="20794"/>
    <n v="6"/>
    <s v="Y"/>
    <x v="1"/>
    <n v="19"/>
    <n v="3"/>
    <n v="2"/>
    <n v="80"/>
    <n v="1"/>
    <n v="10"/>
    <n v="4"/>
    <x v="1"/>
    <n v="3"/>
    <n v="2"/>
    <n v="1"/>
    <n v="2"/>
    <x v="0"/>
    <x v="0"/>
  </r>
  <r>
    <n v="40"/>
    <x v="1"/>
    <s v="Travel_Rarely"/>
    <n v="369"/>
    <x v="1"/>
    <n v="8"/>
    <n v="2"/>
    <s v="Life Sciences"/>
    <n v="1"/>
    <x v="1229"/>
    <n v="2"/>
    <s v="Female"/>
    <n v="92"/>
    <n v="3"/>
    <n v="2"/>
    <x v="3"/>
    <x v="3"/>
    <s v="Married"/>
    <n v="6516"/>
    <n v="5041"/>
    <n v="2"/>
    <s v="Y"/>
    <x v="0"/>
    <n v="16"/>
    <n v="3"/>
    <n v="2"/>
    <n v="80"/>
    <n v="1"/>
    <n v="18"/>
    <n v="3"/>
    <x v="1"/>
    <n v="1"/>
    <n v="0"/>
    <n v="0"/>
    <n v="0"/>
    <x v="1"/>
    <x v="0"/>
  </r>
  <r>
    <n v="24"/>
    <x v="1"/>
    <s v="Travel_Rarely"/>
    <n v="506"/>
    <x v="1"/>
    <n v="29"/>
    <n v="1"/>
    <s v="Medical"/>
    <n v="1"/>
    <x v="1230"/>
    <n v="2"/>
    <s v="Male"/>
    <n v="91"/>
    <n v="3"/>
    <n v="1"/>
    <x v="2"/>
    <x v="3"/>
    <s v="Divorced"/>
    <n v="3907"/>
    <n v="3622"/>
    <n v="1"/>
    <s v="Y"/>
    <x v="1"/>
    <n v="13"/>
    <n v="3"/>
    <n v="2"/>
    <n v="80"/>
    <n v="3"/>
    <n v="6"/>
    <n v="2"/>
    <x v="3"/>
    <n v="6"/>
    <n v="2"/>
    <n v="1"/>
    <n v="2"/>
    <x v="2"/>
    <x v="1"/>
  </r>
  <r>
    <n v="46"/>
    <x v="1"/>
    <s v="Travel_Rarely"/>
    <n v="717"/>
    <x v="1"/>
    <n v="13"/>
    <n v="4"/>
    <s v="Life Sciences"/>
    <n v="1"/>
    <x v="1231"/>
    <n v="3"/>
    <s v="Male"/>
    <n v="34"/>
    <n v="3"/>
    <n v="2"/>
    <x v="4"/>
    <x v="1"/>
    <s v="Single"/>
    <n v="5562"/>
    <n v="9697"/>
    <n v="6"/>
    <s v="Y"/>
    <x v="1"/>
    <n v="14"/>
    <n v="3"/>
    <n v="4"/>
    <n v="80"/>
    <n v="0"/>
    <n v="19"/>
    <n v="3"/>
    <x v="1"/>
    <n v="10"/>
    <n v="7"/>
    <n v="0"/>
    <n v="9"/>
    <x v="0"/>
    <x v="0"/>
  </r>
  <r>
    <n v="35"/>
    <x v="1"/>
    <s v="Travel_Rarely"/>
    <n v="1370"/>
    <x v="1"/>
    <n v="27"/>
    <n v="4"/>
    <s v="Life Sciences"/>
    <n v="1"/>
    <x v="1232"/>
    <n v="4"/>
    <s v="Male"/>
    <n v="49"/>
    <n v="3"/>
    <n v="2"/>
    <x v="3"/>
    <x v="2"/>
    <s v="Married"/>
    <n v="6883"/>
    <n v="5151"/>
    <n v="2"/>
    <s v="Y"/>
    <x v="1"/>
    <n v="16"/>
    <n v="3"/>
    <n v="2"/>
    <n v="80"/>
    <n v="1"/>
    <n v="17"/>
    <n v="3"/>
    <x v="1"/>
    <n v="7"/>
    <n v="7"/>
    <n v="0"/>
    <n v="7"/>
    <x v="1"/>
    <x v="0"/>
  </r>
  <r>
    <n v="30"/>
    <x v="1"/>
    <s v="Travel_Rarely"/>
    <n v="793"/>
    <x v="1"/>
    <n v="16"/>
    <n v="1"/>
    <s v="Life Sciences"/>
    <n v="1"/>
    <x v="1233"/>
    <n v="2"/>
    <s v="Male"/>
    <n v="33"/>
    <n v="3"/>
    <n v="1"/>
    <x v="1"/>
    <x v="0"/>
    <s v="Married"/>
    <n v="2862"/>
    <n v="3811"/>
    <n v="1"/>
    <s v="Y"/>
    <x v="1"/>
    <n v="12"/>
    <n v="3"/>
    <n v="2"/>
    <n v="80"/>
    <n v="1"/>
    <n v="10"/>
    <n v="2"/>
    <x v="2"/>
    <n v="10"/>
    <n v="0"/>
    <n v="0"/>
    <n v="8"/>
    <x v="1"/>
    <x v="1"/>
  </r>
  <r>
    <n v="47"/>
    <x v="1"/>
    <s v="Non-Travel"/>
    <n v="543"/>
    <x v="0"/>
    <n v="2"/>
    <n v="4"/>
    <s v="Marketing"/>
    <n v="1"/>
    <x v="1234"/>
    <n v="3"/>
    <s v="Male"/>
    <n v="87"/>
    <n v="3"/>
    <n v="2"/>
    <x v="0"/>
    <x v="1"/>
    <s v="Married"/>
    <n v="4978"/>
    <n v="3536"/>
    <n v="7"/>
    <s v="Y"/>
    <x v="1"/>
    <n v="11"/>
    <n v="3"/>
    <n v="4"/>
    <n v="80"/>
    <n v="1"/>
    <n v="4"/>
    <n v="3"/>
    <x v="0"/>
    <n v="1"/>
    <n v="0"/>
    <n v="0"/>
    <n v="0"/>
    <x v="0"/>
    <x v="0"/>
  </r>
  <r>
    <n v="46"/>
    <x v="1"/>
    <s v="Travel_Rarely"/>
    <n v="1277"/>
    <x v="0"/>
    <n v="2"/>
    <n v="3"/>
    <s v="Life Sciences"/>
    <n v="1"/>
    <x v="1235"/>
    <n v="3"/>
    <s v="Male"/>
    <n v="74"/>
    <n v="3"/>
    <n v="3"/>
    <x v="0"/>
    <x v="0"/>
    <s v="Divorced"/>
    <n v="10368"/>
    <n v="5596"/>
    <n v="4"/>
    <s v="Y"/>
    <x v="0"/>
    <n v="12"/>
    <n v="3"/>
    <n v="2"/>
    <n v="80"/>
    <n v="1"/>
    <n v="13"/>
    <n v="5"/>
    <x v="2"/>
    <n v="10"/>
    <n v="6"/>
    <n v="0"/>
    <n v="3"/>
    <x v="0"/>
    <x v="2"/>
  </r>
  <r>
    <n v="36"/>
    <x v="0"/>
    <s v="Travel_Rarely"/>
    <n v="1456"/>
    <x v="0"/>
    <n v="13"/>
    <n v="5"/>
    <s v="Marketing"/>
    <n v="1"/>
    <x v="1236"/>
    <n v="2"/>
    <s v="Male"/>
    <n v="96"/>
    <n v="2"/>
    <n v="2"/>
    <x v="0"/>
    <x v="3"/>
    <s v="Divorced"/>
    <n v="6134"/>
    <n v="8658"/>
    <n v="5"/>
    <s v="Y"/>
    <x v="0"/>
    <n v="13"/>
    <n v="3"/>
    <n v="2"/>
    <n v="80"/>
    <n v="3"/>
    <n v="16"/>
    <n v="3"/>
    <x v="1"/>
    <n v="2"/>
    <n v="2"/>
    <n v="2"/>
    <n v="2"/>
    <x v="1"/>
    <x v="0"/>
  </r>
  <r>
    <n v="32"/>
    <x v="0"/>
    <s v="Travel_Rarely"/>
    <n v="964"/>
    <x v="0"/>
    <n v="1"/>
    <n v="2"/>
    <s v="Life Sciences"/>
    <n v="1"/>
    <x v="1237"/>
    <n v="1"/>
    <s v="Male"/>
    <n v="34"/>
    <n v="1"/>
    <n v="2"/>
    <x v="0"/>
    <x v="1"/>
    <s v="Single"/>
    <n v="6735"/>
    <n v="12147"/>
    <n v="6"/>
    <s v="Y"/>
    <x v="1"/>
    <n v="15"/>
    <n v="3"/>
    <n v="2"/>
    <n v="80"/>
    <n v="0"/>
    <n v="10"/>
    <n v="2"/>
    <x v="1"/>
    <n v="0"/>
    <n v="0"/>
    <n v="0"/>
    <n v="0"/>
    <x v="1"/>
    <x v="0"/>
  </r>
  <r>
    <n v="23"/>
    <x v="1"/>
    <s v="Travel_Rarely"/>
    <n v="160"/>
    <x v="1"/>
    <n v="4"/>
    <n v="1"/>
    <s v="Medical"/>
    <n v="1"/>
    <x v="1238"/>
    <n v="3"/>
    <s v="Female"/>
    <n v="51"/>
    <n v="3"/>
    <n v="1"/>
    <x v="2"/>
    <x v="1"/>
    <s v="Single"/>
    <n v="3295"/>
    <n v="12862"/>
    <n v="1"/>
    <s v="Y"/>
    <x v="1"/>
    <n v="13"/>
    <n v="3"/>
    <n v="3"/>
    <n v="80"/>
    <n v="0"/>
    <n v="3"/>
    <n v="3"/>
    <x v="0"/>
    <n v="3"/>
    <n v="2"/>
    <n v="1"/>
    <n v="2"/>
    <x v="2"/>
    <x v="1"/>
  </r>
  <r>
    <n v="31"/>
    <x v="1"/>
    <s v="Travel_Frequently"/>
    <n v="163"/>
    <x v="1"/>
    <n v="24"/>
    <n v="1"/>
    <s v="Technical Degree"/>
    <n v="1"/>
    <x v="1239"/>
    <n v="4"/>
    <s v="Female"/>
    <n v="30"/>
    <n v="3"/>
    <n v="2"/>
    <x v="3"/>
    <x v="0"/>
    <s v="Single"/>
    <n v="5238"/>
    <n v="6670"/>
    <n v="2"/>
    <s v="Y"/>
    <x v="1"/>
    <n v="20"/>
    <n v="4"/>
    <n v="4"/>
    <n v="80"/>
    <n v="0"/>
    <n v="9"/>
    <n v="3"/>
    <x v="2"/>
    <n v="5"/>
    <n v="4"/>
    <n v="1"/>
    <n v="4"/>
    <x v="1"/>
    <x v="0"/>
  </r>
  <r>
    <n v="39"/>
    <x v="1"/>
    <s v="Non-Travel"/>
    <n v="792"/>
    <x v="1"/>
    <n v="1"/>
    <n v="3"/>
    <s v="Life Sciences"/>
    <n v="1"/>
    <x v="1240"/>
    <n v="4"/>
    <s v="Male"/>
    <n v="77"/>
    <n v="3"/>
    <n v="2"/>
    <x v="2"/>
    <x v="0"/>
    <s v="Married"/>
    <n v="6472"/>
    <n v="8989"/>
    <n v="1"/>
    <s v="Y"/>
    <x v="0"/>
    <n v="15"/>
    <n v="3"/>
    <n v="4"/>
    <n v="80"/>
    <n v="1"/>
    <n v="9"/>
    <n v="2"/>
    <x v="1"/>
    <n v="9"/>
    <n v="8"/>
    <n v="5"/>
    <n v="8"/>
    <x v="1"/>
    <x v="0"/>
  </r>
  <r>
    <n v="32"/>
    <x v="1"/>
    <s v="Travel_Rarely"/>
    <n v="371"/>
    <x v="0"/>
    <n v="19"/>
    <n v="3"/>
    <s v="Life Sciences"/>
    <n v="1"/>
    <x v="1241"/>
    <n v="4"/>
    <s v="Male"/>
    <n v="80"/>
    <n v="1"/>
    <n v="3"/>
    <x v="0"/>
    <x v="2"/>
    <s v="Married"/>
    <n v="9610"/>
    <n v="3840"/>
    <n v="3"/>
    <s v="Y"/>
    <x v="1"/>
    <n v="13"/>
    <n v="3"/>
    <n v="3"/>
    <n v="80"/>
    <n v="1"/>
    <n v="10"/>
    <n v="2"/>
    <x v="0"/>
    <n v="4"/>
    <n v="3"/>
    <n v="0"/>
    <n v="2"/>
    <x v="1"/>
    <x v="2"/>
  </r>
  <r>
    <n v="40"/>
    <x v="1"/>
    <s v="Travel_Rarely"/>
    <n v="611"/>
    <x v="0"/>
    <n v="7"/>
    <n v="4"/>
    <s v="Medical"/>
    <n v="1"/>
    <x v="1242"/>
    <n v="2"/>
    <s v="Male"/>
    <n v="88"/>
    <n v="3"/>
    <n v="5"/>
    <x v="5"/>
    <x v="1"/>
    <s v="Single"/>
    <n v="19833"/>
    <n v="4349"/>
    <n v="1"/>
    <s v="Y"/>
    <x v="1"/>
    <n v="14"/>
    <n v="3"/>
    <n v="2"/>
    <n v="80"/>
    <n v="0"/>
    <n v="21"/>
    <n v="3"/>
    <x v="2"/>
    <n v="21"/>
    <n v="8"/>
    <n v="12"/>
    <n v="8"/>
    <x v="1"/>
    <x v="2"/>
  </r>
  <r>
    <n v="45"/>
    <x v="1"/>
    <s v="Travel_Rarely"/>
    <n v="176"/>
    <x v="2"/>
    <n v="4"/>
    <n v="3"/>
    <s v="Life Sciences"/>
    <n v="1"/>
    <x v="1243"/>
    <n v="3"/>
    <s v="Female"/>
    <n v="56"/>
    <n v="1"/>
    <n v="3"/>
    <x v="8"/>
    <x v="2"/>
    <s v="Married"/>
    <n v="9756"/>
    <n v="6595"/>
    <n v="4"/>
    <s v="Y"/>
    <x v="1"/>
    <n v="21"/>
    <n v="4"/>
    <n v="3"/>
    <n v="80"/>
    <n v="2"/>
    <n v="9"/>
    <n v="2"/>
    <x v="3"/>
    <n v="5"/>
    <n v="0"/>
    <n v="0"/>
    <n v="3"/>
    <x v="0"/>
    <x v="2"/>
  </r>
  <r>
    <n v="30"/>
    <x v="1"/>
    <s v="Travel_Frequently"/>
    <n v="1312"/>
    <x v="1"/>
    <n v="2"/>
    <n v="4"/>
    <s v="Technical Degree"/>
    <n v="1"/>
    <x v="1244"/>
    <n v="4"/>
    <s v="Female"/>
    <n v="78"/>
    <n v="2"/>
    <n v="1"/>
    <x v="1"/>
    <x v="3"/>
    <s v="Single"/>
    <n v="4968"/>
    <n v="26427"/>
    <n v="0"/>
    <s v="Y"/>
    <x v="1"/>
    <n v="16"/>
    <n v="3"/>
    <n v="4"/>
    <n v="80"/>
    <n v="0"/>
    <n v="10"/>
    <n v="2"/>
    <x v="1"/>
    <n v="9"/>
    <n v="7"/>
    <n v="0"/>
    <n v="7"/>
    <x v="1"/>
    <x v="0"/>
  </r>
  <r>
    <n v="24"/>
    <x v="1"/>
    <s v="Travel_Frequently"/>
    <n v="897"/>
    <x v="2"/>
    <n v="10"/>
    <n v="3"/>
    <s v="Medical"/>
    <n v="1"/>
    <x v="1245"/>
    <n v="1"/>
    <s v="Male"/>
    <n v="59"/>
    <n v="3"/>
    <n v="1"/>
    <x v="8"/>
    <x v="0"/>
    <s v="Married"/>
    <n v="2145"/>
    <n v="2097"/>
    <n v="0"/>
    <s v="Y"/>
    <x v="1"/>
    <n v="14"/>
    <n v="3"/>
    <n v="4"/>
    <n v="80"/>
    <n v="1"/>
    <n v="3"/>
    <n v="2"/>
    <x v="1"/>
    <n v="2"/>
    <n v="2"/>
    <n v="2"/>
    <n v="1"/>
    <x v="2"/>
    <x v="1"/>
  </r>
  <r>
    <n v="30"/>
    <x v="0"/>
    <s v="Travel_Frequently"/>
    <n v="600"/>
    <x v="2"/>
    <n v="8"/>
    <n v="3"/>
    <s v="Human Resources"/>
    <n v="1"/>
    <x v="1246"/>
    <n v="3"/>
    <s v="Female"/>
    <n v="66"/>
    <n v="2"/>
    <n v="1"/>
    <x v="8"/>
    <x v="0"/>
    <s v="Divorced"/>
    <n v="2180"/>
    <n v="9732"/>
    <n v="6"/>
    <s v="Y"/>
    <x v="1"/>
    <n v="11"/>
    <n v="3"/>
    <n v="3"/>
    <n v="80"/>
    <n v="1"/>
    <n v="6"/>
    <n v="0"/>
    <x v="2"/>
    <n v="4"/>
    <n v="2"/>
    <n v="1"/>
    <n v="2"/>
    <x v="1"/>
    <x v="1"/>
  </r>
  <r>
    <n v="31"/>
    <x v="1"/>
    <s v="Travel_Rarely"/>
    <n v="1003"/>
    <x v="0"/>
    <n v="5"/>
    <n v="3"/>
    <s v="Technical Degree"/>
    <n v="1"/>
    <x v="1247"/>
    <n v="1"/>
    <s v="Male"/>
    <n v="51"/>
    <n v="3"/>
    <n v="2"/>
    <x v="0"/>
    <x v="2"/>
    <s v="Married"/>
    <n v="8346"/>
    <n v="20943"/>
    <n v="1"/>
    <s v="Y"/>
    <x v="1"/>
    <n v="19"/>
    <n v="3"/>
    <n v="3"/>
    <n v="80"/>
    <n v="1"/>
    <n v="6"/>
    <n v="3"/>
    <x v="1"/>
    <n v="5"/>
    <n v="2"/>
    <n v="0"/>
    <n v="2"/>
    <x v="1"/>
    <x v="2"/>
  </r>
  <r>
    <n v="27"/>
    <x v="1"/>
    <s v="Travel_Rarely"/>
    <n v="1054"/>
    <x v="1"/>
    <n v="8"/>
    <n v="3"/>
    <s v="Medical"/>
    <n v="1"/>
    <x v="1248"/>
    <n v="3"/>
    <s v="Female"/>
    <n v="67"/>
    <n v="3"/>
    <n v="1"/>
    <x v="1"/>
    <x v="0"/>
    <s v="Single"/>
    <n v="3445"/>
    <n v="6152"/>
    <n v="1"/>
    <s v="Y"/>
    <x v="1"/>
    <n v="11"/>
    <n v="3"/>
    <n v="3"/>
    <n v="80"/>
    <n v="0"/>
    <n v="6"/>
    <n v="5"/>
    <x v="2"/>
    <n v="6"/>
    <n v="2"/>
    <n v="1"/>
    <n v="4"/>
    <x v="2"/>
    <x v="1"/>
  </r>
  <r>
    <n v="29"/>
    <x v="0"/>
    <s v="Travel_Rarely"/>
    <n v="428"/>
    <x v="0"/>
    <n v="9"/>
    <n v="3"/>
    <s v="Marketing"/>
    <n v="1"/>
    <x v="1249"/>
    <n v="2"/>
    <s v="Female"/>
    <n v="52"/>
    <n v="1"/>
    <n v="1"/>
    <x v="6"/>
    <x v="1"/>
    <s v="Single"/>
    <n v="2760"/>
    <n v="14630"/>
    <n v="1"/>
    <s v="Y"/>
    <x v="1"/>
    <n v="13"/>
    <n v="3"/>
    <n v="3"/>
    <n v="80"/>
    <n v="0"/>
    <n v="2"/>
    <n v="3"/>
    <x v="1"/>
    <n v="2"/>
    <n v="2"/>
    <n v="2"/>
    <n v="2"/>
    <x v="2"/>
    <x v="1"/>
  </r>
  <r>
    <n v="29"/>
    <x v="1"/>
    <s v="Travel_Frequently"/>
    <n v="461"/>
    <x v="1"/>
    <n v="1"/>
    <n v="3"/>
    <s v="Life Sciences"/>
    <n v="1"/>
    <x v="1250"/>
    <n v="4"/>
    <s v="Male"/>
    <n v="70"/>
    <n v="4"/>
    <n v="2"/>
    <x v="4"/>
    <x v="2"/>
    <s v="Single"/>
    <n v="6294"/>
    <n v="23060"/>
    <n v="8"/>
    <s v="Y"/>
    <x v="0"/>
    <n v="12"/>
    <n v="3"/>
    <n v="4"/>
    <n v="80"/>
    <n v="0"/>
    <n v="10"/>
    <n v="5"/>
    <x v="3"/>
    <n v="3"/>
    <n v="2"/>
    <n v="0"/>
    <n v="2"/>
    <x v="2"/>
    <x v="0"/>
  </r>
  <r>
    <n v="30"/>
    <x v="1"/>
    <s v="Travel_Rarely"/>
    <n v="979"/>
    <x v="0"/>
    <n v="15"/>
    <n v="2"/>
    <s v="Marketing"/>
    <n v="1"/>
    <x v="1251"/>
    <n v="3"/>
    <s v="Male"/>
    <n v="94"/>
    <n v="2"/>
    <n v="3"/>
    <x v="0"/>
    <x v="3"/>
    <s v="Divorced"/>
    <n v="7140"/>
    <n v="3088"/>
    <n v="2"/>
    <s v="Y"/>
    <x v="1"/>
    <n v="11"/>
    <n v="3"/>
    <n v="1"/>
    <n v="80"/>
    <n v="1"/>
    <n v="12"/>
    <n v="2"/>
    <x v="1"/>
    <n v="7"/>
    <n v="7"/>
    <n v="1"/>
    <n v="7"/>
    <x v="1"/>
    <x v="2"/>
  </r>
  <r>
    <n v="34"/>
    <x v="1"/>
    <s v="Travel_Rarely"/>
    <n v="181"/>
    <x v="1"/>
    <n v="2"/>
    <n v="4"/>
    <s v="Medical"/>
    <n v="1"/>
    <x v="1252"/>
    <n v="4"/>
    <s v="Male"/>
    <n v="97"/>
    <n v="4"/>
    <n v="1"/>
    <x v="1"/>
    <x v="0"/>
    <s v="Married"/>
    <n v="2932"/>
    <n v="5586"/>
    <n v="0"/>
    <s v="Y"/>
    <x v="0"/>
    <n v="14"/>
    <n v="3"/>
    <n v="1"/>
    <n v="80"/>
    <n v="3"/>
    <n v="6"/>
    <n v="3"/>
    <x v="1"/>
    <n v="5"/>
    <n v="0"/>
    <n v="1"/>
    <n v="2"/>
    <x v="1"/>
    <x v="1"/>
  </r>
  <r>
    <n v="33"/>
    <x v="1"/>
    <s v="Non-Travel"/>
    <n v="1283"/>
    <x v="0"/>
    <n v="2"/>
    <n v="3"/>
    <s v="Marketing"/>
    <n v="1"/>
    <x v="1253"/>
    <n v="4"/>
    <s v="Female"/>
    <n v="62"/>
    <n v="3"/>
    <n v="2"/>
    <x v="0"/>
    <x v="1"/>
    <s v="Single"/>
    <n v="5147"/>
    <n v="10697"/>
    <n v="8"/>
    <s v="Y"/>
    <x v="1"/>
    <n v="15"/>
    <n v="3"/>
    <n v="4"/>
    <n v="80"/>
    <n v="0"/>
    <n v="13"/>
    <n v="2"/>
    <x v="2"/>
    <n v="11"/>
    <n v="7"/>
    <n v="1"/>
    <n v="7"/>
    <x v="1"/>
    <x v="0"/>
  </r>
  <r>
    <n v="49"/>
    <x v="1"/>
    <s v="Travel_Rarely"/>
    <n v="1313"/>
    <x v="0"/>
    <n v="11"/>
    <n v="4"/>
    <s v="Marketing"/>
    <n v="1"/>
    <x v="1254"/>
    <n v="4"/>
    <s v="Female"/>
    <n v="80"/>
    <n v="3"/>
    <n v="2"/>
    <x v="0"/>
    <x v="0"/>
    <s v="Single"/>
    <n v="4507"/>
    <n v="8191"/>
    <n v="3"/>
    <s v="Y"/>
    <x v="1"/>
    <n v="12"/>
    <n v="3"/>
    <n v="3"/>
    <n v="80"/>
    <n v="0"/>
    <n v="8"/>
    <n v="1"/>
    <x v="3"/>
    <n v="5"/>
    <n v="1"/>
    <n v="0"/>
    <n v="4"/>
    <x v="0"/>
    <x v="0"/>
  </r>
  <r>
    <n v="33"/>
    <x v="0"/>
    <s v="Travel_Rarely"/>
    <n v="211"/>
    <x v="0"/>
    <n v="16"/>
    <n v="3"/>
    <s v="Life Sciences"/>
    <n v="1"/>
    <x v="1255"/>
    <n v="1"/>
    <s v="Female"/>
    <n v="74"/>
    <n v="3"/>
    <n v="3"/>
    <x v="0"/>
    <x v="3"/>
    <s v="Single"/>
    <n v="8564"/>
    <n v="10092"/>
    <n v="2"/>
    <s v="Y"/>
    <x v="0"/>
    <n v="20"/>
    <n v="4"/>
    <n v="3"/>
    <n v="80"/>
    <n v="0"/>
    <n v="11"/>
    <n v="2"/>
    <x v="2"/>
    <n v="0"/>
    <n v="0"/>
    <n v="0"/>
    <n v="0"/>
    <x v="1"/>
    <x v="2"/>
  </r>
  <r>
    <n v="38"/>
    <x v="1"/>
    <s v="Travel_Frequently"/>
    <n v="594"/>
    <x v="1"/>
    <n v="2"/>
    <n v="2"/>
    <s v="Medical"/>
    <n v="1"/>
    <x v="1256"/>
    <n v="3"/>
    <s v="Female"/>
    <n v="75"/>
    <n v="2"/>
    <n v="1"/>
    <x v="2"/>
    <x v="1"/>
    <s v="Married"/>
    <n v="2468"/>
    <n v="15963"/>
    <n v="4"/>
    <s v="Y"/>
    <x v="1"/>
    <n v="14"/>
    <n v="3"/>
    <n v="2"/>
    <n v="80"/>
    <n v="1"/>
    <n v="9"/>
    <n v="4"/>
    <x v="2"/>
    <n v="6"/>
    <n v="1"/>
    <n v="0"/>
    <n v="5"/>
    <x v="1"/>
    <x v="1"/>
  </r>
  <r>
    <n v="31"/>
    <x v="0"/>
    <s v="Travel_Rarely"/>
    <n v="1079"/>
    <x v="0"/>
    <n v="16"/>
    <n v="4"/>
    <s v="Marketing"/>
    <n v="1"/>
    <x v="1257"/>
    <n v="1"/>
    <s v="Male"/>
    <n v="70"/>
    <n v="3"/>
    <n v="3"/>
    <x v="0"/>
    <x v="2"/>
    <s v="Married"/>
    <n v="8161"/>
    <n v="19002"/>
    <n v="2"/>
    <s v="Y"/>
    <x v="1"/>
    <n v="13"/>
    <n v="3"/>
    <n v="1"/>
    <n v="80"/>
    <n v="3"/>
    <n v="10"/>
    <n v="2"/>
    <x v="1"/>
    <n v="1"/>
    <n v="0"/>
    <n v="0"/>
    <n v="0"/>
    <x v="1"/>
    <x v="2"/>
  </r>
  <r>
    <n v="29"/>
    <x v="1"/>
    <s v="Travel_Rarely"/>
    <n v="590"/>
    <x v="1"/>
    <n v="4"/>
    <n v="3"/>
    <s v="Technical Degree"/>
    <n v="1"/>
    <x v="1258"/>
    <n v="4"/>
    <s v="Female"/>
    <n v="91"/>
    <n v="2"/>
    <n v="1"/>
    <x v="1"/>
    <x v="3"/>
    <s v="Divorced"/>
    <n v="2109"/>
    <n v="10007"/>
    <n v="1"/>
    <s v="Y"/>
    <x v="1"/>
    <n v="13"/>
    <n v="3"/>
    <n v="3"/>
    <n v="80"/>
    <n v="1"/>
    <n v="1"/>
    <n v="2"/>
    <x v="1"/>
    <n v="1"/>
    <n v="0"/>
    <n v="0"/>
    <n v="0"/>
    <x v="2"/>
    <x v="1"/>
  </r>
  <r>
    <n v="30"/>
    <x v="1"/>
    <s v="Travel_Rarely"/>
    <n v="305"/>
    <x v="1"/>
    <n v="16"/>
    <n v="3"/>
    <s v="Life Sciences"/>
    <n v="1"/>
    <x v="1259"/>
    <n v="3"/>
    <s v="Male"/>
    <n v="58"/>
    <n v="4"/>
    <n v="2"/>
    <x v="4"/>
    <x v="2"/>
    <s v="Married"/>
    <n v="5294"/>
    <n v="9128"/>
    <n v="3"/>
    <s v="Y"/>
    <x v="1"/>
    <n v="16"/>
    <n v="3"/>
    <n v="3"/>
    <n v="80"/>
    <n v="1"/>
    <n v="10"/>
    <n v="3"/>
    <x v="1"/>
    <n v="7"/>
    <n v="0"/>
    <n v="1"/>
    <n v="7"/>
    <x v="1"/>
    <x v="0"/>
  </r>
  <r>
    <n v="32"/>
    <x v="1"/>
    <s v="Non-Travel"/>
    <n v="953"/>
    <x v="1"/>
    <n v="5"/>
    <n v="4"/>
    <s v="Technical Degree"/>
    <n v="1"/>
    <x v="1260"/>
    <n v="2"/>
    <s v="Male"/>
    <n v="65"/>
    <n v="3"/>
    <n v="1"/>
    <x v="1"/>
    <x v="1"/>
    <s v="Single"/>
    <n v="2718"/>
    <n v="17674"/>
    <n v="2"/>
    <s v="Y"/>
    <x v="1"/>
    <n v="14"/>
    <n v="3"/>
    <n v="2"/>
    <n v="80"/>
    <n v="0"/>
    <n v="12"/>
    <n v="3"/>
    <x v="1"/>
    <n v="7"/>
    <n v="7"/>
    <n v="0"/>
    <n v="7"/>
    <x v="1"/>
    <x v="1"/>
  </r>
  <r>
    <n v="38"/>
    <x v="1"/>
    <s v="Travel_Rarely"/>
    <n v="833"/>
    <x v="1"/>
    <n v="18"/>
    <n v="3"/>
    <s v="Medical"/>
    <n v="1"/>
    <x v="1261"/>
    <n v="2"/>
    <s v="Male"/>
    <n v="60"/>
    <n v="1"/>
    <n v="2"/>
    <x v="4"/>
    <x v="0"/>
    <s v="Married"/>
    <n v="5811"/>
    <n v="24539"/>
    <n v="3"/>
    <s v="Y"/>
    <x v="0"/>
    <n v="16"/>
    <n v="3"/>
    <n v="3"/>
    <n v="80"/>
    <n v="1"/>
    <n v="15"/>
    <n v="2"/>
    <x v="1"/>
    <n v="1"/>
    <n v="0"/>
    <n v="1"/>
    <n v="0"/>
    <x v="1"/>
    <x v="0"/>
  </r>
  <r>
    <n v="43"/>
    <x v="0"/>
    <s v="Travel_Frequently"/>
    <n v="807"/>
    <x v="1"/>
    <n v="17"/>
    <n v="3"/>
    <s v="Technical Degree"/>
    <n v="1"/>
    <x v="1262"/>
    <n v="3"/>
    <s v="Male"/>
    <n v="38"/>
    <n v="2"/>
    <n v="1"/>
    <x v="1"/>
    <x v="2"/>
    <s v="Married"/>
    <n v="2437"/>
    <n v="15587"/>
    <n v="9"/>
    <s v="Y"/>
    <x v="0"/>
    <n v="16"/>
    <n v="3"/>
    <n v="4"/>
    <n v="80"/>
    <n v="1"/>
    <n v="6"/>
    <n v="4"/>
    <x v="1"/>
    <n v="1"/>
    <n v="0"/>
    <n v="0"/>
    <n v="0"/>
    <x v="0"/>
    <x v="1"/>
  </r>
  <r>
    <n v="42"/>
    <x v="1"/>
    <s v="Travel_Rarely"/>
    <n v="855"/>
    <x v="1"/>
    <n v="12"/>
    <n v="3"/>
    <s v="Medical"/>
    <n v="1"/>
    <x v="1263"/>
    <n v="2"/>
    <s v="Male"/>
    <n v="57"/>
    <n v="3"/>
    <n v="1"/>
    <x v="2"/>
    <x v="1"/>
    <s v="Divorced"/>
    <n v="2766"/>
    <n v="8952"/>
    <n v="8"/>
    <s v="Y"/>
    <x v="1"/>
    <n v="22"/>
    <n v="4"/>
    <n v="2"/>
    <n v="80"/>
    <n v="3"/>
    <n v="7"/>
    <n v="6"/>
    <x v="2"/>
    <n v="5"/>
    <n v="3"/>
    <n v="0"/>
    <n v="4"/>
    <x v="0"/>
    <x v="1"/>
  </r>
  <r>
    <n v="55"/>
    <x v="1"/>
    <s v="Travel_Rarely"/>
    <n v="478"/>
    <x v="1"/>
    <n v="2"/>
    <n v="3"/>
    <s v="Medical"/>
    <n v="1"/>
    <x v="1264"/>
    <n v="3"/>
    <s v="Male"/>
    <n v="60"/>
    <n v="2"/>
    <n v="5"/>
    <x v="7"/>
    <x v="3"/>
    <s v="Married"/>
    <n v="19038"/>
    <n v="19805"/>
    <n v="8"/>
    <s v="Y"/>
    <x v="1"/>
    <n v="12"/>
    <n v="3"/>
    <n v="2"/>
    <n v="80"/>
    <n v="3"/>
    <n v="34"/>
    <n v="2"/>
    <x v="1"/>
    <n v="1"/>
    <n v="0"/>
    <n v="0"/>
    <n v="0"/>
    <x v="3"/>
    <x v="2"/>
  </r>
  <r>
    <n v="33"/>
    <x v="1"/>
    <s v="Non-Travel"/>
    <n v="775"/>
    <x v="1"/>
    <n v="4"/>
    <n v="3"/>
    <s v="Technical Degree"/>
    <n v="1"/>
    <x v="1265"/>
    <n v="4"/>
    <s v="Male"/>
    <n v="90"/>
    <n v="3"/>
    <n v="2"/>
    <x v="1"/>
    <x v="1"/>
    <s v="Divorced"/>
    <n v="3055"/>
    <n v="6194"/>
    <n v="5"/>
    <s v="Y"/>
    <x v="1"/>
    <n v="15"/>
    <n v="3"/>
    <n v="4"/>
    <n v="80"/>
    <n v="2"/>
    <n v="11"/>
    <n v="2"/>
    <x v="2"/>
    <n v="9"/>
    <n v="8"/>
    <n v="1"/>
    <n v="7"/>
    <x v="1"/>
    <x v="1"/>
  </r>
  <r>
    <n v="41"/>
    <x v="1"/>
    <s v="Travel_Rarely"/>
    <n v="548"/>
    <x v="1"/>
    <n v="9"/>
    <n v="4"/>
    <s v="Life Sciences"/>
    <n v="1"/>
    <x v="1266"/>
    <n v="3"/>
    <s v="Male"/>
    <n v="94"/>
    <n v="3"/>
    <n v="1"/>
    <x v="2"/>
    <x v="3"/>
    <s v="Divorced"/>
    <n v="2289"/>
    <n v="20520"/>
    <n v="1"/>
    <s v="Y"/>
    <x v="1"/>
    <n v="20"/>
    <n v="4"/>
    <n v="2"/>
    <n v="80"/>
    <n v="2"/>
    <n v="5"/>
    <n v="2"/>
    <x v="1"/>
    <n v="5"/>
    <n v="3"/>
    <n v="0"/>
    <n v="4"/>
    <x v="0"/>
    <x v="1"/>
  </r>
  <r>
    <n v="34"/>
    <x v="1"/>
    <s v="Non-Travel"/>
    <n v="1375"/>
    <x v="0"/>
    <n v="10"/>
    <n v="3"/>
    <s v="Life Sciences"/>
    <n v="1"/>
    <x v="1267"/>
    <n v="4"/>
    <s v="Male"/>
    <n v="87"/>
    <n v="3"/>
    <n v="2"/>
    <x v="0"/>
    <x v="2"/>
    <s v="Divorced"/>
    <n v="4001"/>
    <n v="12313"/>
    <n v="1"/>
    <s v="Y"/>
    <x v="0"/>
    <n v="14"/>
    <n v="3"/>
    <n v="3"/>
    <n v="80"/>
    <n v="1"/>
    <n v="15"/>
    <n v="3"/>
    <x v="1"/>
    <n v="15"/>
    <n v="14"/>
    <n v="0"/>
    <n v="7"/>
    <x v="1"/>
    <x v="0"/>
  </r>
  <r>
    <n v="53"/>
    <x v="1"/>
    <s v="Non-Travel"/>
    <n v="661"/>
    <x v="1"/>
    <n v="1"/>
    <n v="4"/>
    <s v="Medical"/>
    <n v="1"/>
    <x v="1268"/>
    <n v="1"/>
    <s v="Female"/>
    <n v="60"/>
    <n v="2"/>
    <n v="4"/>
    <x v="3"/>
    <x v="2"/>
    <s v="Married"/>
    <n v="12965"/>
    <n v="22308"/>
    <n v="4"/>
    <s v="Y"/>
    <x v="0"/>
    <n v="20"/>
    <n v="4"/>
    <n v="4"/>
    <n v="80"/>
    <n v="3"/>
    <n v="27"/>
    <n v="2"/>
    <x v="2"/>
    <n v="3"/>
    <n v="2"/>
    <n v="0"/>
    <n v="2"/>
    <x v="3"/>
    <x v="2"/>
  </r>
  <r>
    <n v="43"/>
    <x v="1"/>
    <s v="Travel_Rarely"/>
    <n v="244"/>
    <x v="2"/>
    <n v="2"/>
    <n v="3"/>
    <s v="Life Sciences"/>
    <n v="1"/>
    <x v="1269"/>
    <n v="2"/>
    <s v="Male"/>
    <n v="97"/>
    <n v="3"/>
    <n v="1"/>
    <x v="8"/>
    <x v="0"/>
    <s v="Single"/>
    <n v="3539"/>
    <n v="5033"/>
    <n v="0"/>
    <s v="Y"/>
    <x v="1"/>
    <n v="13"/>
    <n v="3"/>
    <n v="2"/>
    <n v="80"/>
    <n v="0"/>
    <n v="10"/>
    <n v="5"/>
    <x v="1"/>
    <n v="9"/>
    <n v="7"/>
    <n v="1"/>
    <n v="8"/>
    <x v="0"/>
    <x v="1"/>
  </r>
  <r>
    <n v="34"/>
    <x v="1"/>
    <s v="Travel_Rarely"/>
    <n v="511"/>
    <x v="0"/>
    <n v="3"/>
    <n v="2"/>
    <s v="Life Sciences"/>
    <n v="1"/>
    <x v="1270"/>
    <n v="4"/>
    <s v="Female"/>
    <n v="32"/>
    <n v="1"/>
    <n v="2"/>
    <x v="0"/>
    <x v="0"/>
    <s v="Single"/>
    <n v="6029"/>
    <n v="25353"/>
    <n v="5"/>
    <s v="Y"/>
    <x v="1"/>
    <n v="12"/>
    <n v="3"/>
    <n v="1"/>
    <n v="80"/>
    <n v="0"/>
    <n v="6"/>
    <n v="3"/>
    <x v="1"/>
    <n v="2"/>
    <n v="2"/>
    <n v="2"/>
    <n v="2"/>
    <x v="1"/>
    <x v="0"/>
  </r>
  <r>
    <n v="21"/>
    <x v="0"/>
    <s v="Travel_Rarely"/>
    <n v="337"/>
    <x v="0"/>
    <n v="7"/>
    <n v="1"/>
    <s v="Marketing"/>
    <n v="1"/>
    <x v="1271"/>
    <n v="2"/>
    <s v="Male"/>
    <n v="31"/>
    <n v="3"/>
    <n v="1"/>
    <x v="6"/>
    <x v="1"/>
    <s v="Single"/>
    <n v="2679"/>
    <n v="4567"/>
    <n v="1"/>
    <s v="Y"/>
    <x v="1"/>
    <n v="13"/>
    <n v="3"/>
    <n v="2"/>
    <n v="80"/>
    <n v="0"/>
    <n v="1"/>
    <n v="3"/>
    <x v="1"/>
    <n v="1"/>
    <n v="0"/>
    <n v="1"/>
    <n v="0"/>
    <x v="2"/>
    <x v="1"/>
  </r>
  <r>
    <n v="38"/>
    <x v="1"/>
    <s v="Travel_Rarely"/>
    <n v="1153"/>
    <x v="1"/>
    <n v="6"/>
    <n v="2"/>
    <s v="Other"/>
    <n v="1"/>
    <x v="1272"/>
    <n v="4"/>
    <s v="Female"/>
    <n v="40"/>
    <n v="2"/>
    <n v="1"/>
    <x v="2"/>
    <x v="2"/>
    <s v="Married"/>
    <n v="3702"/>
    <n v="16376"/>
    <n v="1"/>
    <s v="Y"/>
    <x v="1"/>
    <n v="11"/>
    <n v="3"/>
    <n v="2"/>
    <n v="80"/>
    <n v="1"/>
    <n v="5"/>
    <n v="3"/>
    <x v="1"/>
    <n v="5"/>
    <n v="4"/>
    <n v="0"/>
    <n v="4"/>
    <x v="1"/>
    <x v="1"/>
  </r>
  <r>
    <n v="22"/>
    <x v="0"/>
    <s v="Travel_Rarely"/>
    <n v="1294"/>
    <x v="1"/>
    <n v="8"/>
    <n v="1"/>
    <s v="Medical"/>
    <n v="1"/>
    <x v="1273"/>
    <n v="3"/>
    <s v="Female"/>
    <n v="79"/>
    <n v="3"/>
    <n v="1"/>
    <x v="2"/>
    <x v="3"/>
    <s v="Married"/>
    <n v="2398"/>
    <n v="15999"/>
    <n v="1"/>
    <s v="Y"/>
    <x v="0"/>
    <n v="17"/>
    <n v="3"/>
    <n v="3"/>
    <n v="80"/>
    <n v="0"/>
    <n v="1"/>
    <n v="6"/>
    <x v="1"/>
    <n v="1"/>
    <n v="0"/>
    <n v="0"/>
    <n v="0"/>
    <x v="2"/>
    <x v="1"/>
  </r>
  <r>
    <n v="31"/>
    <x v="1"/>
    <s v="Travel_Rarely"/>
    <n v="196"/>
    <x v="0"/>
    <n v="29"/>
    <n v="4"/>
    <s v="Marketing"/>
    <n v="1"/>
    <x v="1274"/>
    <n v="1"/>
    <s v="Female"/>
    <n v="91"/>
    <n v="2"/>
    <n v="2"/>
    <x v="0"/>
    <x v="0"/>
    <s v="Married"/>
    <n v="5468"/>
    <n v="13402"/>
    <n v="1"/>
    <s v="Y"/>
    <x v="1"/>
    <n v="14"/>
    <n v="3"/>
    <n v="1"/>
    <n v="80"/>
    <n v="2"/>
    <n v="13"/>
    <n v="3"/>
    <x v="1"/>
    <n v="12"/>
    <n v="7"/>
    <n v="5"/>
    <n v="7"/>
    <x v="1"/>
    <x v="0"/>
  </r>
  <r>
    <n v="51"/>
    <x v="1"/>
    <s v="Travel_Rarely"/>
    <n v="942"/>
    <x v="1"/>
    <n v="3"/>
    <n v="3"/>
    <s v="Technical Degree"/>
    <n v="1"/>
    <x v="1275"/>
    <n v="1"/>
    <s v="Female"/>
    <n v="53"/>
    <n v="3"/>
    <n v="3"/>
    <x v="5"/>
    <x v="2"/>
    <s v="Married"/>
    <n v="13116"/>
    <n v="22984"/>
    <n v="2"/>
    <s v="Y"/>
    <x v="1"/>
    <n v="11"/>
    <n v="3"/>
    <n v="4"/>
    <n v="80"/>
    <n v="0"/>
    <n v="15"/>
    <n v="2"/>
    <x v="1"/>
    <n v="2"/>
    <n v="2"/>
    <n v="2"/>
    <n v="2"/>
    <x v="3"/>
    <x v="2"/>
  </r>
  <r>
    <n v="37"/>
    <x v="1"/>
    <s v="Travel_Rarely"/>
    <n v="589"/>
    <x v="0"/>
    <n v="9"/>
    <n v="2"/>
    <s v="Marketing"/>
    <n v="1"/>
    <x v="1276"/>
    <n v="2"/>
    <s v="Male"/>
    <n v="46"/>
    <n v="2"/>
    <n v="2"/>
    <x v="0"/>
    <x v="1"/>
    <s v="Married"/>
    <n v="4189"/>
    <n v="8800"/>
    <n v="1"/>
    <s v="Y"/>
    <x v="1"/>
    <n v="14"/>
    <n v="3"/>
    <n v="1"/>
    <n v="80"/>
    <n v="2"/>
    <n v="5"/>
    <n v="2"/>
    <x v="1"/>
    <n v="5"/>
    <n v="2"/>
    <n v="0"/>
    <n v="3"/>
    <x v="1"/>
    <x v="0"/>
  </r>
  <r>
    <n v="46"/>
    <x v="1"/>
    <s v="Travel_Rarely"/>
    <n v="734"/>
    <x v="1"/>
    <n v="2"/>
    <n v="4"/>
    <s v="Medical"/>
    <n v="1"/>
    <x v="1277"/>
    <n v="3"/>
    <s v="Male"/>
    <n v="46"/>
    <n v="3"/>
    <n v="5"/>
    <x v="7"/>
    <x v="0"/>
    <s v="Divorced"/>
    <n v="19328"/>
    <n v="14218"/>
    <n v="7"/>
    <s v="Y"/>
    <x v="0"/>
    <n v="17"/>
    <n v="3"/>
    <n v="3"/>
    <n v="80"/>
    <n v="1"/>
    <n v="24"/>
    <n v="3"/>
    <x v="1"/>
    <n v="2"/>
    <n v="1"/>
    <n v="2"/>
    <n v="2"/>
    <x v="0"/>
    <x v="2"/>
  </r>
  <r>
    <n v="36"/>
    <x v="1"/>
    <s v="Travel_Rarely"/>
    <n v="1383"/>
    <x v="1"/>
    <n v="10"/>
    <n v="3"/>
    <s v="Life Sciences"/>
    <n v="1"/>
    <x v="1278"/>
    <n v="4"/>
    <s v="Male"/>
    <n v="90"/>
    <n v="3"/>
    <n v="3"/>
    <x v="4"/>
    <x v="3"/>
    <s v="Married"/>
    <n v="8321"/>
    <n v="25949"/>
    <n v="7"/>
    <s v="Y"/>
    <x v="0"/>
    <n v="13"/>
    <n v="3"/>
    <n v="4"/>
    <n v="80"/>
    <n v="1"/>
    <n v="15"/>
    <n v="1"/>
    <x v="1"/>
    <n v="12"/>
    <n v="8"/>
    <n v="5"/>
    <n v="7"/>
    <x v="1"/>
    <x v="2"/>
  </r>
  <r>
    <n v="44"/>
    <x v="0"/>
    <s v="Travel_Frequently"/>
    <n v="429"/>
    <x v="1"/>
    <n v="1"/>
    <n v="2"/>
    <s v="Medical"/>
    <n v="1"/>
    <x v="1279"/>
    <n v="3"/>
    <s v="Male"/>
    <n v="99"/>
    <n v="3"/>
    <n v="1"/>
    <x v="1"/>
    <x v="1"/>
    <s v="Divorced"/>
    <n v="2342"/>
    <n v="11092"/>
    <n v="1"/>
    <s v="Y"/>
    <x v="0"/>
    <n v="12"/>
    <n v="3"/>
    <n v="3"/>
    <n v="80"/>
    <n v="3"/>
    <n v="6"/>
    <n v="2"/>
    <x v="2"/>
    <n v="5"/>
    <n v="3"/>
    <n v="2"/>
    <n v="3"/>
    <x v="0"/>
    <x v="1"/>
  </r>
  <r>
    <n v="37"/>
    <x v="1"/>
    <s v="Travel_Rarely"/>
    <n v="1239"/>
    <x v="2"/>
    <n v="8"/>
    <n v="2"/>
    <s v="Other"/>
    <n v="1"/>
    <x v="1280"/>
    <n v="3"/>
    <s v="Male"/>
    <n v="89"/>
    <n v="3"/>
    <n v="2"/>
    <x v="8"/>
    <x v="1"/>
    <s v="Divorced"/>
    <n v="4071"/>
    <n v="12832"/>
    <n v="2"/>
    <s v="Y"/>
    <x v="1"/>
    <n v="13"/>
    <n v="3"/>
    <n v="3"/>
    <n v="80"/>
    <n v="0"/>
    <n v="19"/>
    <n v="4"/>
    <x v="2"/>
    <n v="10"/>
    <n v="0"/>
    <n v="4"/>
    <n v="7"/>
    <x v="1"/>
    <x v="0"/>
  </r>
  <r>
    <n v="35"/>
    <x v="0"/>
    <s v="Travel_Rarely"/>
    <n v="303"/>
    <x v="0"/>
    <n v="27"/>
    <n v="3"/>
    <s v="Life Sciences"/>
    <n v="1"/>
    <x v="1281"/>
    <n v="3"/>
    <s v="Male"/>
    <n v="84"/>
    <n v="3"/>
    <n v="2"/>
    <x v="0"/>
    <x v="0"/>
    <s v="Single"/>
    <n v="5813"/>
    <n v="13492"/>
    <n v="1"/>
    <s v="Y"/>
    <x v="0"/>
    <n v="18"/>
    <n v="3"/>
    <n v="4"/>
    <n v="80"/>
    <n v="0"/>
    <n v="10"/>
    <n v="2"/>
    <x v="1"/>
    <n v="10"/>
    <n v="7"/>
    <n v="7"/>
    <n v="7"/>
    <x v="1"/>
    <x v="0"/>
  </r>
  <r>
    <n v="33"/>
    <x v="1"/>
    <s v="Travel_Rarely"/>
    <n v="867"/>
    <x v="1"/>
    <n v="8"/>
    <n v="4"/>
    <s v="Life Sciences"/>
    <n v="1"/>
    <x v="1282"/>
    <n v="4"/>
    <s v="Male"/>
    <n v="90"/>
    <n v="4"/>
    <n v="1"/>
    <x v="1"/>
    <x v="3"/>
    <s v="Married"/>
    <n v="3143"/>
    <n v="6076"/>
    <n v="6"/>
    <s v="Y"/>
    <x v="1"/>
    <n v="19"/>
    <n v="3"/>
    <n v="2"/>
    <n v="80"/>
    <n v="1"/>
    <n v="14"/>
    <n v="1"/>
    <x v="1"/>
    <n v="10"/>
    <n v="8"/>
    <n v="7"/>
    <n v="6"/>
    <x v="1"/>
    <x v="1"/>
  </r>
  <r>
    <n v="28"/>
    <x v="1"/>
    <s v="Travel_Rarely"/>
    <n v="1181"/>
    <x v="1"/>
    <n v="1"/>
    <n v="3"/>
    <s v="Life Sciences"/>
    <n v="1"/>
    <x v="1283"/>
    <n v="3"/>
    <s v="Male"/>
    <n v="82"/>
    <n v="3"/>
    <n v="1"/>
    <x v="1"/>
    <x v="0"/>
    <s v="Married"/>
    <n v="2044"/>
    <n v="5531"/>
    <n v="1"/>
    <s v="Y"/>
    <x v="1"/>
    <n v="11"/>
    <n v="3"/>
    <n v="3"/>
    <n v="80"/>
    <n v="1"/>
    <n v="5"/>
    <n v="6"/>
    <x v="3"/>
    <n v="5"/>
    <n v="3"/>
    <n v="0"/>
    <n v="3"/>
    <x v="2"/>
    <x v="1"/>
  </r>
  <r>
    <n v="39"/>
    <x v="1"/>
    <s v="Travel_Rarely"/>
    <n v="1253"/>
    <x v="1"/>
    <n v="10"/>
    <n v="1"/>
    <s v="Medical"/>
    <n v="1"/>
    <x v="1284"/>
    <n v="3"/>
    <s v="Male"/>
    <n v="65"/>
    <n v="3"/>
    <n v="3"/>
    <x v="7"/>
    <x v="2"/>
    <s v="Single"/>
    <n v="13464"/>
    <n v="7914"/>
    <n v="7"/>
    <s v="Y"/>
    <x v="1"/>
    <n v="21"/>
    <n v="4"/>
    <n v="3"/>
    <n v="80"/>
    <n v="0"/>
    <n v="9"/>
    <n v="3"/>
    <x v="1"/>
    <n v="4"/>
    <n v="3"/>
    <n v="2"/>
    <n v="2"/>
    <x v="1"/>
    <x v="2"/>
  </r>
  <r>
    <n v="46"/>
    <x v="1"/>
    <s v="Non-Travel"/>
    <n v="849"/>
    <x v="0"/>
    <n v="26"/>
    <n v="2"/>
    <s v="Life Sciences"/>
    <n v="1"/>
    <x v="1285"/>
    <n v="2"/>
    <s v="Male"/>
    <n v="98"/>
    <n v="2"/>
    <n v="2"/>
    <x v="0"/>
    <x v="1"/>
    <s v="Single"/>
    <n v="7991"/>
    <n v="25166"/>
    <n v="8"/>
    <s v="Y"/>
    <x v="1"/>
    <n v="15"/>
    <n v="3"/>
    <n v="3"/>
    <n v="80"/>
    <n v="0"/>
    <n v="6"/>
    <n v="3"/>
    <x v="1"/>
    <n v="2"/>
    <n v="2"/>
    <n v="2"/>
    <n v="2"/>
    <x v="0"/>
    <x v="2"/>
  </r>
  <r>
    <n v="40"/>
    <x v="1"/>
    <s v="Travel_Rarely"/>
    <n v="616"/>
    <x v="1"/>
    <n v="2"/>
    <n v="2"/>
    <s v="Life Sciences"/>
    <n v="1"/>
    <x v="1286"/>
    <n v="3"/>
    <s v="Female"/>
    <n v="99"/>
    <n v="3"/>
    <n v="1"/>
    <x v="2"/>
    <x v="3"/>
    <s v="Married"/>
    <n v="3377"/>
    <n v="25605"/>
    <n v="4"/>
    <s v="Y"/>
    <x v="1"/>
    <n v="17"/>
    <n v="3"/>
    <n v="4"/>
    <n v="80"/>
    <n v="1"/>
    <n v="7"/>
    <n v="5"/>
    <x v="2"/>
    <n v="4"/>
    <n v="3"/>
    <n v="0"/>
    <n v="2"/>
    <x v="1"/>
    <x v="1"/>
  </r>
  <r>
    <n v="42"/>
    <x v="1"/>
    <s v="Travel_Rarely"/>
    <n v="1128"/>
    <x v="1"/>
    <n v="13"/>
    <n v="3"/>
    <s v="Medical"/>
    <n v="1"/>
    <x v="1287"/>
    <n v="2"/>
    <s v="Male"/>
    <n v="95"/>
    <n v="4"/>
    <n v="2"/>
    <x v="4"/>
    <x v="3"/>
    <s v="Married"/>
    <n v="5538"/>
    <n v="5696"/>
    <n v="5"/>
    <s v="Y"/>
    <x v="1"/>
    <n v="18"/>
    <n v="3"/>
    <n v="3"/>
    <n v="80"/>
    <n v="2"/>
    <n v="10"/>
    <n v="2"/>
    <x v="2"/>
    <n v="0"/>
    <n v="0"/>
    <n v="0"/>
    <n v="0"/>
    <x v="0"/>
    <x v="0"/>
  </r>
  <r>
    <n v="35"/>
    <x v="1"/>
    <s v="Non-Travel"/>
    <n v="1180"/>
    <x v="1"/>
    <n v="2"/>
    <n v="2"/>
    <s v="Medical"/>
    <n v="1"/>
    <x v="1288"/>
    <n v="2"/>
    <s v="Male"/>
    <n v="90"/>
    <n v="3"/>
    <n v="2"/>
    <x v="3"/>
    <x v="0"/>
    <s v="Divorced"/>
    <n v="5762"/>
    <n v="24442"/>
    <n v="2"/>
    <s v="Y"/>
    <x v="1"/>
    <n v="14"/>
    <n v="3"/>
    <n v="3"/>
    <n v="80"/>
    <n v="1"/>
    <n v="15"/>
    <n v="6"/>
    <x v="1"/>
    <n v="7"/>
    <n v="7"/>
    <n v="1"/>
    <n v="7"/>
    <x v="1"/>
    <x v="0"/>
  </r>
  <r>
    <n v="38"/>
    <x v="1"/>
    <s v="Non-Travel"/>
    <n v="1336"/>
    <x v="2"/>
    <n v="2"/>
    <n v="3"/>
    <s v="Human Resources"/>
    <n v="1"/>
    <x v="1289"/>
    <n v="1"/>
    <s v="Male"/>
    <n v="100"/>
    <n v="3"/>
    <n v="1"/>
    <x v="8"/>
    <x v="1"/>
    <s v="Divorced"/>
    <n v="2592"/>
    <n v="7129"/>
    <n v="5"/>
    <s v="Y"/>
    <x v="1"/>
    <n v="13"/>
    <n v="3"/>
    <n v="4"/>
    <n v="80"/>
    <n v="3"/>
    <n v="13"/>
    <n v="3"/>
    <x v="1"/>
    <n v="11"/>
    <n v="10"/>
    <n v="3"/>
    <n v="8"/>
    <x v="1"/>
    <x v="1"/>
  </r>
  <r>
    <n v="34"/>
    <x v="0"/>
    <s v="Travel_Frequently"/>
    <n v="234"/>
    <x v="1"/>
    <n v="9"/>
    <n v="4"/>
    <s v="Life Sciences"/>
    <n v="1"/>
    <x v="1290"/>
    <n v="4"/>
    <s v="Male"/>
    <n v="93"/>
    <n v="3"/>
    <n v="2"/>
    <x v="2"/>
    <x v="3"/>
    <s v="Married"/>
    <n v="5346"/>
    <n v="6208"/>
    <n v="4"/>
    <s v="Y"/>
    <x v="1"/>
    <n v="17"/>
    <n v="3"/>
    <n v="3"/>
    <n v="80"/>
    <n v="1"/>
    <n v="11"/>
    <n v="3"/>
    <x v="2"/>
    <n v="7"/>
    <n v="1"/>
    <n v="0"/>
    <n v="7"/>
    <x v="1"/>
    <x v="0"/>
  </r>
  <r>
    <n v="37"/>
    <x v="0"/>
    <s v="Travel_Rarely"/>
    <n v="370"/>
    <x v="1"/>
    <n v="10"/>
    <n v="4"/>
    <s v="Medical"/>
    <n v="1"/>
    <x v="1291"/>
    <n v="4"/>
    <s v="Male"/>
    <n v="58"/>
    <n v="3"/>
    <n v="2"/>
    <x v="3"/>
    <x v="3"/>
    <s v="Single"/>
    <n v="4213"/>
    <n v="4992"/>
    <n v="1"/>
    <s v="Y"/>
    <x v="1"/>
    <n v="15"/>
    <n v="3"/>
    <n v="2"/>
    <n v="80"/>
    <n v="0"/>
    <n v="10"/>
    <n v="4"/>
    <x v="0"/>
    <n v="10"/>
    <n v="3"/>
    <n v="0"/>
    <n v="8"/>
    <x v="1"/>
    <x v="0"/>
  </r>
  <r>
    <n v="39"/>
    <x v="1"/>
    <s v="Travel_Frequently"/>
    <n v="766"/>
    <x v="0"/>
    <n v="20"/>
    <n v="3"/>
    <s v="Life Sciences"/>
    <n v="1"/>
    <x v="1292"/>
    <n v="3"/>
    <s v="Male"/>
    <n v="83"/>
    <n v="3"/>
    <n v="2"/>
    <x v="0"/>
    <x v="0"/>
    <s v="Divorced"/>
    <n v="4127"/>
    <n v="19188"/>
    <n v="2"/>
    <s v="Y"/>
    <x v="1"/>
    <n v="18"/>
    <n v="3"/>
    <n v="4"/>
    <n v="80"/>
    <n v="1"/>
    <n v="7"/>
    <n v="6"/>
    <x v="1"/>
    <n v="2"/>
    <n v="1"/>
    <n v="2"/>
    <n v="2"/>
    <x v="1"/>
    <x v="0"/>
  </r>
  <r>
    <n v="43"/>
    <x v="1"/>
    <s v="Non-Travel"/>
    <n v="343"/>
    <x v="1"/>
    <n v="9"/>
    <n v="3"/>
    <s v="Life Sciences"/>
    <n v="1"/>
    <x v="1293"/>
    <n v="1"/>
    <s v="Male"/>
    <n v="52"/>
    <n v="3"/>
    <n v="1"/>
    <x v="1"/>
    <x v="2"/>
    <s v="Single"/>
    <n v="2438"/>
    <n v="24978"/>
    <n v="4"/>
    <s v="Y"/>
    <x v="1"/>
    <n v="13"/>
    <n v="3"/>
    <n v="3"/>
    <n v="80"/>
    <n v="0"/>
    <n v="7"/>
    <n v="2"/>
    <x v="2"/>
    <n v="3"/>
    <n v="2"/>
    <n v="1"/>
    <n v="2"/>
    <x v="0"/>
    <x v="1"/>
  </r>
  <r>
    <n v="41"/>
    <x v="1"/>
    <s v="Travel_Rarely"/>
    <n v="447"/>
    <x v="1"/>
    <n v="5"/>
    <n v="3"/>
    <s v="Life Sciences"/>
    <n v="1"/>
    <x v="1294"/>
    <n v="2"/>
    <s v="Male"/>
    <n v="85"/>
    <n v="4"/>
    <n v="2"/>
    <x v="4"/>
    <x v="1"/>
    <s v="Single"/>
    <n v="6870"/>
    <n v="15530"/>
    <n v="3"/>
    <s v="Y"/>
    <x v="1"/>
    <n v="12"/>
    <n v="3"/>
    <n v="1"/>
    <n v="80"/>
    <n v="0"/>
    <n v="11"/>
    <n v="3"/>
    <x v="0"/>
    <n v="3"/>
    <n v="2"/>
    <n v="1"/>
    <n v="2"/>
    <x v="0"/>
    <x v="0"/>
  </r>
  <r>
    <n v="41"/>
    <x v="1"/>
    <s v="Travel_Rarely"/>
    <n v="796"/>
    <x v="0"/>
    <n v="4"/>
    <n v="1"/>
    <s v="Marketing"/>
    <n v="1"/>
    <x v="1295"/>
    <n v="3"/>
    <s v="Female"/>
    <n v="81"/>
    <n v="3"/>
    <n v="3"/>
    <x v="0"/>
    <x v="2"/>
    <s v="Divorced"/>
    <n v="10447"/>
    <n v="26458"/>
    <n v="0"/>
    <s v="Y"/>
    <x v="0"/>
    <n v="13"/>
    <n v="3"/>
    <n v="4"/>
    <n v="80"/>
    <n v="1"/>
    <n v="23"/>
    <n v="3"/>
    <x v="3"/>
    <n v="22"/>
    <n v="14"/>
    <n v="13"/>
    <n v="5"/>
    <x v="0"/>
    <x v="2"/>
  </r>
  <r>
    <n v="30"/>
    <x v="1"/>
    <s v="Travel_Rarely"/>
    <n v="1092"/>
    <x v="1"/>
    <n v="10"/>
    <n v="3"/>
    <s v="Medical"/>
    <n v="1"/>
    <x v="1296"/>
    <n v="1"/>
    <s v="Female"/>
    <n v="64"/>
    <n v="3"/>
    <n v="3"/>
    <x v="3"/>
    <x v="2"/>
    <s v="Single"/>
    <n v="9667"/>
    <n v="2739"/>
    <n v="9"/>
    <s v="Y"/>
    <x v="1"/>
    <n v="14"/>
    <n v="3"/>
    <n v="2"/>
    <n v="80"/>
    <n v="0"/>
    <n v="9"/>
    <n v="3"/>
    <x v="1"/>
    <n v="7"/>
    <n v="7"/>
    <n v="0"/>
    <n v="2"/>
    <x v="1"/>
    <x v="2"/>
  </r>
  <r>
    <n v="26"/>
    <x v="0"/>
    <s v="Travel_Rarely"/>
    <n v="920"/>
    <x v="2"/>
    <n v="20"/>
    <n v="2"/>
    <s v="Medical"/>
    <n v="1"/>
    <x v="1297"/>
    <n v="4"/>
    <s v="Female"/>
    <n v="69"/>
    <n v="3"/>
    <n v="1"/>
    <x v="8"/>
    <x v="1"/>
    <s v="Married"/>
    <n v="2148"/>
    <n v="6889"/>
    <n v="0"/>
    <s v="Y"/>
    <x v="0"/>
    <n v="11"/>
    <n v="3"/>
    <n v="3"/>
    <n v="80"/>
    <n v="0"/>
    <n v="6"/>
    <n v="3"/>
    <x v="1"/>
    <n v="5"/>
    <n v="1"/>
    <n v="1"/>
    <n v="4"/>
    <x v="2"/>
    <x v="1"/>
  </r>
  <r>
    <n v="46"/>
    <x v="0"/>
    <s v="Travel_Rarely"/>
    <n v="261"/>
    <x v="1"/>
    <n v="21"/>
    <n v="2"/>
    <s v="Medical"/>
    <n v="1"/>
    <x v="1298"/>
    <n v="4"/>
    <s v="Female"/>
    <n v="66"/>
    <n v="3"/>
    <n v="2"/>
    <x v="4"/>
    <x v="1"/>
    <s v="Married"/>
    <n v="8926"/>
    <n v="10842"/>
    <n v="4"/>
    <s v="Y"/>
    <x v="1"/>
    <n v="22"/>
    <n v="4"/>
    <n v="4"/>
    <n v="80"/>
    <n v="1"/>
    <n v="13"/>
    <n v="2"/>
    <x v="3"/>
    <n v="9"/>
    <n v="7"/>
    <n v="3"/>
    <n v="7"/>
    <x v="0"/>
    <x v="2"/>
  </r>
  <r>
    <n v="40"/>
    <x v="1"/>
    <s v="Travel_Rarely"/>
    <n v="1194"/>
    <x v="1"/>
    <n v="1"/>
    <n v="3"/>
    <s v="Life Sciences"/>
    <n v="1"/>
    <x v="1299"/>
    <n v="3"/>
    <s v="Female"/>
    <n v="52"/>
    <n v="3"/>
    <n v="2"/>
    <x v="4"/>
    <x v="0"/>
    <s v="Divorced"/>
    <n v="6513"/>
    <n v="9060"/>
    <n v="4"/>
    <s v="Y"/>
    <x v="1"/>
    <n v="17"/>
    <n v="3"/>
    <n v="4"/>
    <n v="80"/>
    <n v="1"/>
    <n v="12"/>
    <n v="3"/>
    <x v="1"/>
    <n v="5"/>
    <n v="3"/>
    <n v="0"/>
    <n v="3"/>
    <x v="1"/>
    <x v="0"/>
  </r>
  <r>
    <n v="34"/>
    <x v="1"/>
    <s v="Travel_Rarely"/>
    <n v="810"/>
    <x v="0"/>
    <n v="8"/>
    <n v="2"/>
    <s v="Technical Degree"/>
    <n v="1"/>
    <x v="1300"/>
    <n v="2"/>
    <s v="Male"/>
    <n v="92"/>
    <n v="4"/>
    <n v="2"/>
    <x v="0"/>
    <x v="2"/>
    <s v="Married"/>
    <n v="6799"/>
    <n v="22128"/>
    <n v="1"/>
    <s v="Y"/>
    <x v="1"/>
    <n v="21"/>
    <n v="4"/>
    <n v="3"/>
    <n v="80"/>
    <n v="2"/>
    <n v="10"/>
    <n v="5"/>
    <x v="1"/>
    <n v="10"/>
    <n v="8"/>
    <n v="4"/>
    <n v="8"/>
    <x v="1"/>
    <x v="0"/>
  </r>
  <r>
    <n v="58"/>
    <x v="1"/>
    <s v="Non-Travel"/>
    <n v="350"/>
    <x v="0"/>
    <n v="2"/>
    <n v="3"/>
    <s v="Medical"/>
    <n v="1"/>
    <x v="1301"/>
    <n v="2"/>
    <s v="Male"/>
    <n v="52"/>
    <n v="3"/>
    <n v="4"/>
    <x v="5"/>
    <x v="1"/>
    <s v="Divorced"/>
    <n v="16291"/>
    <n v="22577"/>
    <n v="4"/>
    <s v="Y"/>
    <x v="1"/>
    <n v="22"/>
    <n v="4"/>
    <n v="4"/>
    <n v="80"/>
    <n v="1"/>
    <n v="37"/>
    <n v="0"/>
    <x v="2"/>
    <n v="16"/>
    <n v="9"/>
    <n v="14"/>
    <n v="14"/>
    <x v="3"/>
    <x v="2"/>
  </r>
  <r>
    <n v="35"/>
    <x v="1"/>
    <s v="Travel_Rarely"/>
    <n v="185"/>
    <x v="1"/>
    <n v="23"/>
    <n v="4"/>
    <s v="Medical"/>
    <n v="1"/>
    <x v="1302"/>
    <n v="2"/>
    <s v="Male"/>
    <n v="91"/>
    <n v="1"/>
    <n v="1"/>
    <x v="2"/>
    <x v="2"/>
    <s v="Married"/>
    <n v="2705"/>
    <n v="9696"/>
    <n v="0"/>
    <s v="Y"/>
    <x v="1"/>
    <n v="16"/>
    <n v="3"/>
    <n v="2"/>
    <n v="80"/>
    <n v="1"/>
    <n v="6"/>
    <n v="2"/>
    <x v="3"/>
    <n v="5"/>
    <n v="4"/>
    <n v="0"/>
    <n v="3"/>
    <x v="1"/>
    <x v="1"/>
  </r>
  <r>
    <n v="47"/>
    <x v="1"/>
    <s v="Travel_Rarely"/>
    <n v="1001"/>
    <x v="1"/>
    <n v="4"/>
    <n v="3"/>
    <s v="Life Sciences"/>
    <n v="1"/>
    <x v="1303"/>
    <n v="3"/>
    <s v="Female"/>
    <n v="92"/>
    <n v="2"/>
    <n v="3"/>
    <x v="3"/>
    <x v="1"/>
    <s v="Divorced"/>
    <n v="10333"/>
    <n v="19271"/>
    <n v="8"/>
    <s v="Y"/>
    <x v="0"/>
    <n v="12"/>
    <n v="3"/>
    <n v="3"/>
    <n v="80"/>
    <n v="1"/>
    <n v="28"/>
    <n v="4"/>
    <x v="1"/>
    <n v="22"/>
    <n v="11"/>
    <n v="14"/>
    <n v="10"/>
    <x v="0"/>
    <x v="2"/>
  </r>
  <r>
    <n v="40"/>
    <x v="1"/>
    <s v="Travel_Rarely"/>
    <n v="750"/>
    <x v="1"/>
    <n v="12"/>
    <n v="3"/>
    <s v="Life Sciences"/>
    <n v="1"/>
    <x v="1304"/>
    <n v="2"/>
    <s v="Female"/>
    <n v="47"/>
    <n v="3"/>
    <n v="2"/>
    <x v="4"/>
    <x v="3"/>
    <s v="Divorced"/>
    <n v="4448"/>
    <n v="10748"/>
    <n v="2"/>
    <s v="Y"/>
    <x v="1"/>
    <n v="12"/>
    <n v="3"/>
    <n v="2"/>
    <n v="80"/>
    <n v="1"/>
    <n v="15"/>
    <n v="3"/>
    <x v="1"/>
    <n v="7"/>
    <n v="4"/>
    <n v="7"/>
    <n v="7"/>
    <x v="1"/>
    <x v="0"/>
  </r>
  <r>
    <n v="54"/>
    <x v="1"/>
    <s v="Travel_Rarely"/>
    <n v="431"/>
    <x v="1"/>
    <n v="7"/>
    <n v="4"/>
    <s v="Medical"/>
    <n v="1"/>
    <x v="1305"/>
    <n v="4"/>
    <s v="Female"/>
    <n v="68"/>
    <n v="3"/>
    <n v="2"/>
    <x v="1"/>
    <x v="0"/>
    <s v="Married"/>
    <n v="6854"/>
    <n v="15696"/>
    <n v="4"/>
    <s v="Y"/>
    <x v="1"/>
    <n v="15"/>
    <n v="3"/>
    <n v="2"/>
    <n v="80"/>
    <n v="1"/>
    <n v="14"/>
    <n v="2"/>
    <x v="2"/>
    <n v="7"/>
    <n v="1"/>
    <n v="1"/>
    <n v="7"/>
    <x v="3"/>
    <x v="0"/>
  </r>
  <r>
    <n v="31"/>
    <x v="1"/>
    <s v="Travel_Frequently"/>
    <n v="1125"/>
    <x v="0"/>
    <n v="7"/>
    <n v="4"/>
    <s v="Marketing"/>
    <n v="1"/>
    <x v="1306"/>
    <n v="1"/>
    <s v="Female"/>
    <n v="68"/>
    <n v="3"/>
    <n v="3"/>
    <x v="0"/>
    <x v="3"/>
    <s v="Married"/>
    <n v="9637"/>
    <n v="8277"/>
    <n v="2"/>
    <s v="Y"/>
    <x v="1"/>
    <n v="14"/>
    <n v="3"/>
    <n v="4"/>
    <n v="80"/>
    <n v="2"/>
    <n v="9"/>
    <n v="3"/>
    <x v="1"/>
    <n v="3"/>
    <n v="2"/>
    <n v="2"/>
    <n v="2"/>
    <x v="1"/>
    <x v="2"/>
  </r>
  <r>
    <n v="28"/>
    <x v="1"/>
    <s v="Travel_Rarely"/>
    <n v="1217"/>
    <x v="1"/>
    <n v="1"/>
    <n v="3"/>
    <s v="Medical"/>
    <n v="1"/>
    <x v="1307"/>
    <n v="3"/>
    <s v="Female"/>
    <n v="67"/>
    <n v="3"/>
    <n v="1"/>
    <x v="1"/>
    <x v="3"/>
    <s v="Married"/>
    <n v="3591"/>
    <n v="12719"/>
    <n v="1"/>
    <s v="Y"/>
    <x v="1"/>
    <n v="25"/>
    <n v="4"/>
    <n v="3"/>
    <n v="80"/>
    <n v="1"/>
    <n v="3"/>
    <n v="3"/>
    <x v="1"/>
    <n v="3"/>
    <n v="2"/>
    <n v="1"/>
    <n v="2"/>
    <x v="2"/>
    <x v="1"/>
  </r>
  <r>
    <n v="38"/>
    <x v="1"/>
    <s v="Travel_Rarely"/>
    <n v="723"/>
    <x v="0"/>
    <n v="2"/>
    <n v="4"/>
    <s v="Marketing"/>
    <n v="1"/>
    <x v="1308"/>
    <n v="2"/>
    <s v="Female"/>
    <n v="77"/>
    <n v="1"/>
    <n v="2"/>
    <x v="6"/>
    <x v="0"/>
    <s v="Married"/>
    <n v="5405"/>
    <n v="4244"/>
    <n v="2"/>
    <s v="Y"/>
    <x v="0"/>
    <n v="20"/>
    <n v="4"/>
    <n v="1"/>
    <n v="80"/>
    <n v="2"/>
    <n v="20"/>
    <n v="4"/>
    <x v="2"/>
    <n v="4"/>
    <n v="2"/>
    <n v="0"/>
    <n v="3"/>
    <x v="1"/>
    <x v="0"/>
  </r>
  <r>
    <n v="26"/>
    <x v="1"/>
    <s v="Travel_Rarely"/>
    <n v="572"/>
    <x v="0"/>
    <n v="10"/>
    <n v="3"/>
    <s v="Medical"/>
    <n v="1"/>
    <x v="1309"/>
    <n v="3"/>
    <s v="Male"/>
    <n v="46"/>
    <n v="3"/>
    <n v="2"/>
    <x v="0"/>
    <x v="0"/>
    <s v="Single"/>
    <n v="4684"/>
    <n v="9125"/>
    <n v="1"/>
    <s v="Y"/>
    <x v="1"/>
    <n v="13"/>
    <n v="3"/>
    <n v="1"/>
    <n v="80"/>
    <n v="0"/>
    <n v="5"/>
    <n v="4"/>
    <x v="1"/>
    <n v="5"/>
    <n v="3"/>
    <n v="1"/>
    <n v="2"/>
    <x v="2"/>
    <x v="0"/>
  </r>
  <r>
    <n v="58"/>
    <x v="1"/>
    <s v="Travel_Frequently"/>
    <n v="1216"/>
    <x v="1"/>
    <n v="15"/>
    <n v="4"/>
    <s v="Life Sciences"/>
    <n v="1"/>
    <x v="1310"/>
    <n v="1"/>
    <s v="Male"/>
    <n v="87"/>
    <n v="3"/>
    <n v="4"/>
    <x v="7"/>
    <x v="2"/>
    <s v="Married"/>
    <n v="15787"/>
    <n v="21624"/>
    <n v="2"/>
    <s v="Y"/>
    <x v="0"/>
    <n v="14"/>
    <n v="3"/>
    <n v="2"/>
    <n v="80"/>
    <n v="0"/>
    <n v="23"/>
    <n v="3"/>
    <x v="1"/>
    <n v="2"/>
    <n v="2"/>
    <n v="2"/>
    <n v="2"/>
    <x v="3"/>
    <x v="2"/>
  </r>
  <r>
    <n v="18"/>
    <x v="1"/>
    <s v="Non-Travel"/>
    <n v="1431"/>
    <x v="1"/>
    <n v="14"/>
    <n v="3"/>
    <s v="Medical"/>
    <n v="1"/>
    <x v="1311"/>
    <n v="2"/>
    <s v="Female"/>
    <n v="33"/>
    <n v="3"/>
    <n v="1"/>
    <x v="1"/>
    <x v="2"/>
    <s v="Single"/>
    <n v="1514"/>
    <n v="8018"/>
    <n v="1"/>
    <s v="Y"/>
    <x v="1"/>
    <n v="16"/>
    <n v="3"/>
    <n v="3"/>
    <n v="80"/>
    <n v="0"/>
    <n v="0"/>
    <n v="4"/>
    <x v="0"/>
    <n v="0"/>
    <n v="0"/>
    <n v="0"/>
    <n v="0"/>
    <x v="2"/>
    <x v="1"/>
  </r>
  <r>
    <n v="31"/>
    <x v="0"/>
    <s v="Travel_Rarely"/>
    <n v="359"/>
    <x v="2"/>
    <n v="18"/>
    <n v="5"/>
    <s v="Human Resources"/>
    <n v="1"/>
    <x v="1312"/>
    <n v="4"/>
    <s v="Male"/>
    <n v="89"/>
    <n v="4"/>
    <n v="1"/>
    <x v="8"/>
    <x v="3"/>
    <s v="Married"/>
    <n v="2956"/>
    <n v="21495"/>
    <n v="0"/>
    <s v="Y"/>
    <x v="1"/>
    <n v="17"/>
    <n v="3"/>
    <n v="3"/>
    <n v="80"/>
    <n v="0"/>
    <n v="2"/>
    <n v="4"/>
    <x v="1"/>
    <n v="1"/>
    <n v="0"/>
    <n v="0"/>
    <n v="0"/>
    <x v="1"/>
    <x v="1"/>
  </r>
  <r>
    <n v="29"/>
    <x v="0"/>
    <s v="Travel_Rarely"/>
    <n v="350"/>
    <x v="2"/>
    <n v="13"/>
    <n v="3"/>
    <s v="Human Resources"/>
    <n v="1"/>
    <x v="1313"/>
    <n v="1"/>
    <s v="Male"/>
    <n v="56"/>
    <n v="2"/>
    <n v="1"/>
    <x v="8"/>
    <x v="3"/>
    <s v="Divorced"/>
    <n v="2335"/>
    <n v="3157"/>
    <n v="4"/>
    <s v="Y"/>
    <x v="0"/>
    <n v="15"/>
    <n v="3"/>
    <n v="4"/>
    <n v="80"/>
    <n v="3"/>
    <n v="4"/>
    <n v="3"/>
    <x v="1"/>
    <n v="2"/>
    <n v="2"/>
    <n v="2"/>
    <n v="0"/>
    <x v="2"/>
    <x v="1"/>
  </r>
  <r>
    <n v="45"/>
    <x v="1"/>
    <s v="Non-Travel"/>
    <n v="589"/>
    <x v="0"/>
    <n v="2"/>
    <n v="4"/>
    <s v="Life Sciences"/>
    <n v="1"/>
    <x v="1314"/>
    <n v="3"/>
    <s v="Female"/>
    <n v="67"/>
    <n v="3"/>
    <n v="2"/>
    <x v="0"/>
    <x v="2"/>
    <s v="Married"/>
    <n v="5154"/>
    <n v="19665"/>
    <n v="4"/>
    <s v="Y"/>
    <x v="1"/>
    <n v="22"/>
    <n v="4"/>
    <n v="2"/>
    <n v="80"/>
    <n v="2"/>
    <n v="10"/>
    <n v="3"/>
    <x v="3"/>
    <n v="8"/>
    <n v="7"/>
    <n v="5"/>
    <n v="7"/>
    <x v="0"/>
    <x v="0"/>
  </r>
  <r>
    <n v="36"/>
    <x v="1"/>
    <s v="Travel_Rarely"/>
    <n v="430"/>
    <x v="1"/>
    <n v="2"/>
    <n v="4"/>
    <s v="Other"/>
    <n v="1"/>
    <x v="1315"/>
    <n v="4"/>
    <s v="Female"/>
    <n v="73"/>
    <n v="3"/>
    <n v="2"/>
    <x v="1"/>
    <x v="1"/>
    <s v="Married"/>
    <n v="6962"/>
    <n v="19573"/>
    <n v="4"/>
    <s v="Y"/>
    <x v="0"/>
    <n v="22"/>
    <n v="4"/>
    <n v="4"/>
    <n v="80"/>
    <n v="1"/>
    <n v="15"/>
    <n v="2"/>
    <x v="1"/>
    <n v="1"/>
    <n v="0"/>
    <n v="0"/>
    <n v="0"/>
    <x v="1"/>
    <x v="0"/>
  </r>
  <r>
    <n v="43"/>
    <x v="1"/>
    <s v="Travel_Frequently"/>
    <n v="1422"/>
    <x v="0"/>
    <n v="2"/>
    <n v="4"/>
    <s v="Life Sciences"/>
    <n v="1"/>
    <x v="1316"/>
    <n v="1"/>
    <s v="Male"/>
    <n v="92"/>
    <n v="3"/>
    <n v="2"/>
    <x v="0"/>
    <x v="0"/>
    <s v="Married"/>
    <n v="5675"/>
    <n v="19246"/>
    <n v="1"/>
    <s v="Y"/>
    <x v="1"/>
    <n v="20"/>
    <n v="4"/>
    <n v="3"/>
    <n v="80"/>
    <n v="1"/>
    <n v="7"/>
    <n v="5"/>
    <x v="1"/>
    <n v="7"/>
    <n v="7"/>
    <n v="7"/>
    <n v="7"/>
    <x v="0"/>
    <x v="0"/>
  </r>
  <r>
    <n v="27"/>
    <x v="1"/>
    <s v="Travel_Frequently"/>
    <n v="1297"/>
    <x v="1"/>
    <n v="5"/>
    <n v="2"/>
    <s v="Life Sciences"/>
    <n v="1"/>
    <x v="1317"/>
    <n v="4"/>
    <s v="Female"/>
    <n v="53"/>
    <n v="3"/>
    <n v="1"/>
    <x v="2"/>
    <x v="0"/>
    <s v="Single"/>
    <n v="2379"/>
    <n v="19826"/>
    <n v="0"/>
    <s v="Y"/>
    <x v="0"/>
    <n v="14"/>
    <n v="3"/>
    <n v="3"/>
    <n v="80"/>
    <n v="0"/>
    <n v="6"/>
    <n v="3"/>
    <x v="2"/>
    <n v="5"/>
    <n v="4"/>
    <n v="0"/>
    <n v="2"/>
    <x v="2"/>
    <x v="1"/>
  </r>
  <r>
    <n v="29"/>
    <x v="1"/>
    <s v="Travel_Frequently"/>
    <n v="574"/>
    <x v="1"/>
    <n v="20"/>
    <n v="1"/>
    <s v="Medical"/>
    <n v="1"/>
    <x v="1318"/>
    <n v="4"/>
    <s v="Male"/>
    <n v="40"/>
    <n v="3"/>
    <n v="1"/>
    <x v="2"/>
    <x v="0"/>
    <s v="Married"/>
    <n v="3812"/>
    <n v="7003"/>
    <n v="1"/>
    <s v="Y"/>
    <x v="1"/>
    <n v="13"/>
    <n v="3"/>
    <n v="2"/>
    <n v="80"/>
    <n v="0"/>
    <n v="11"/>
    <n v="3"/>
    <x v="3"/>
    <n v="11"/>
    <n v="8"/>
    <n v="3"/>
    <n v="10"/>
    <x v="2"/>
    <x v="1"/>
  </r>
  <r>
    <n v="32"/>
    <x v="1"/>
    <s v="Travel_Frequently"/>
    <n v="1318"/>
    <x v="0"/>
    <n v="10"/>
    <n v="4"/>
    <s v="Marketing"/>
    <n v="1"/>
    <x v="1319"/>
    <n v="4"/>
    <s v="Male"/>
    <n v="79"/>
    <n v="3"/>
    <n v="2"/>
    <x v="0"/>
    <x v="0"/>
    <s v="Single"/>
    <n v="4648"/>
    <n v="26075"/>
    <n v="8"/>
    <s v="Y"/>
    <x v="1"/>
    <n v="13"/>
    <n v="3"/>
    <n v="3"/>
    <n v="80"/>
    <n v="0"/>
    <n v="4"/>
    <n v="2"/>
    <x v="3"/>
    <n v="0"/>
    <n v="0"/>
    <n v="0"/>
    <n v="0"/>
    <x v="1"/>
    <x v="0"/>
  </r>
  <r>
    <n v="42"/>
    <x v="1"/>
    <s v="Non-Travel"/>
    <n v="355"/>
    <x v="1"/>
    <n v="10"/>
    <n v="4"/>
    <s v="Technical Degree"/>
    <n v="1"/>
    <x v="1320"/>
    <n v="3"/>
    <s v="Male"/>
    <n v="38"/>
    <n v="3"/>
    <n v="1"/>
    <x v="1"/>
    <x v="2"/>
    <s v="Married"/>
    <n v="2936"/>
    <n v="6161"/>
    <n v="3"/>
    <s v="Y"/>
    <x v="1"/>
    <n v="22"/>
    <n v="4"/>
    <n v="2"/>
    <n v="80"/>
    <n v="2"/>
    <n v="10"/>
    <n v="1"/>
    <x v="2"/>
    <n v="6"/>
    <n v="3"/>
    <n v="3"/>
    <n v="3"/>
    <x v="0"/>
    <x v="1"/>
  </r>
  <r>
    <n v="47"/>
    <x v="1"/>
    <s v="Travel_Rarely"/>
    <n v="207"/>
    <x v="1"/>
    <n v="9"/>
    <n v="4"/>
    <s v="Life Sciences"/>
    <n v="1"/>
    <x v="1321"/>
    <n v="2"/>
    <s v="Female"/>
    <n v="64"/>
    <n v="3"/>
    <n v="1"/>
    <x v="2"/>
    <x v="2"/>
    <s v="Single"/>
    <n v="2105"/>
    <n v="5411"/>
    <n v="4"/>
    <s v="Y"/>
    <x v="1"/>
    <n v="12"/>
    <n v="3"/>
    <n v="3"/>
    <n v="80"/>
    <n v="0"/>
    <n v="7"/>
    <n v="2"/>
    <x v="1"/>
    <n v="2"/>
    <n v="2"/>
    <n v="2"/>
    <n v="0"/>
    <x v="0"/>
    <x v="1"/>
  </r>
  <r>
    <n v="46"/>
    <x v="1"/>
    <s v="Travel_Rarely"/>
    <n v="706"/>
    <x v="1"/>
    <n v="2"/>
    <n v="2"/>
    <s v="Life Sciences"/>
    <n v="1"/>
    <x v="1322"/>
    <n v="4"/>
    <s v="Male"/>
    <n v="82"/>
    <n v="3"/>
    <n v="3"/>
    <x v="3"/>
    <x v="0"/>
    <s v="Divorced"/>
    <n v="8578"/>
    <n v="19989"/>
    <n v="3"/>
    <s v="Y"/>
    <x v="1"/>
    <n v="14"/>
    <n v="3"/>
    <n v="3"/>
    <n v="80"/>
    <n v="1"/>
    <n v="12"/>
    <n v="4"/>
    <x v="2"/>
    <n v="9"/>
    <n v="8"/>
    <n v="4"/>
    <n v="7"/>
    <x v="0"/>
    <x v="2"/>
  </r>
  <r>
    <n v="28"/>
    <x v="1"/>
    <s v="Non-Travel"/>
    <n v="280"/>
    <x v="2"/>
    <n v="1"/>
    <n v="2"/>
    <s v="Life Sciences"/>
    <n v="1"/>
    <x v="1323"/>
    <n v="3"/>
    <s v="Male"/>
    <n v="43"/>
    <n v="3"/>
    <n v="1"/>
    <x v="8"/>
    <x v="0"/>
    <s v="Divorced"/>
    <n v="2706"/>
    <n v="10494"/>
    <n v="1"/>
    <s v="Y"/>
    <x v="1"/>
    <n v="15"/>
    <n v="3"/>
    <n v="2"/>
    <n v="80"/>
    <n v="1"/>
    <n v="3"/>
    <n v="2"/>
    <x v="1"/>
    <n v="3"/>
    <n v="2"/>
    <n v="2"/>
    <n v="2"/>
    <x v="2"/>
    <x v="1"/>
  </r>
  <r>
    <n v="29"/>
    <x v="1"/>
    <s v="Travel_Rarely"/>
    <n v="726"/>
    <x v="1"/>
    <n v="29"/>
    <n v="1"/>
    <s v="Life Sciences"/>
    <n v="1"/>
    <x v="1324"/>
    <n v="4"/>
    <s v="Male"/>
    <n v="93"/>
    <n v="1"/>
    <n v="2"/>
    <x v="4"/>
    <x v="2"/>
    <s v="Divorced"/>
    <n v="6384"/>
    <n v="21143"/>
    <n v="8"/>
    <s v="Y"/>
    <x v="1"/>
    <n v="17"/>
    <n v="3"/>
    <n v="4"/>
    <n v="80"/>
    <n v="2"/>
    <n v="11"/>
    <n v="3"/>
    <x v="1"/>
    <n v="7"/>
    <n v="0"/>
    <n v="1"/>
    <n v="6"/>
    <x v="2"/>
    <x v="0"/>
  </r>
  <r>
    <n v="42"/>
    <x v="1"/>
    <s v="Travel_Rarely"/>
    <n v="1142"/>
    <x v="1"/>
    <n v="8"/>
    <n v="3"/>
    <s v="Life Sciences"/>
    <n v="1"/>
    <x v="1325"/>
    <n v="4"/>
    <s v="Male"/>
    <n v="81"/>
    <n v="3"/>
    <n v="1"/>
    <x v="2"/>
    <x v="2"/>
    <s v="Single"/>
    <n v="3968"/>
    <n v="13624"/>
    <n v="4"/>
    <s v="Y"/>
    <x v="1"/>
    <n v="13"/>
    <n v="3"/>
    <n v="4"/>
    <n v="80"/>
    <n v="0"/>
    <n v="8"/>
    <n v="3"/>
    <x v="1"/>
    <n v="0"/>
    <n v="0"/>
    <n v="0"/>
    <n v="0"/>
    <x v="0"/>
    <x v="1"/>
  </r>
  <r>
    <n v="32"/>
    <x v="0"/>
    <s v="Travel_Rarely"/>
    <n v="414"/>
    <x v="0"/>
    <n v="2"/>
    <n v="4"/>
    <s v="Marketing"/>
    <n v="1"/>
    <x v="1326"/>
    <n v="3"/>
    <s v="Male"/>
    <n v="82"/>
    <n v="2"/>
    <n v="2"/>
    <x v="0"/>
    <x v="1"/>
    <s v="Single"/>
    <n v="9907"/>
    <n v="26186"/>
    <n v="7"/>
    <s v="Y"/>
    <x v="0"/>
    <n v="12"/>
    <n v="3"/>
    <n v="3"/>
    <n v="80"/>
    <n v="0"/>
    <n v="7"/>
    <n v="3"/>
    <x v="2"/>
    <n v="2"/>
    <n v="2"/>
    <n v="2"/>
    <n v="2"/>
    <x v="1"/>
    <x v="2"/>
  </r>
  <r>
    <n v="46"/>
    <x v="1"/>
    <s v="Travel_Rarely"/>
    <n v="1319"/>
    <x v="0"/>
    <n v="3"/>
    <n v="3"/>
    <s v="Technical Degree"/>
    <n v="1"/>
    <x v="1327"/>
    <n v="1"/>
    <s v="Female"/>
    <n v="45"/>
    <n v="4"/>
    <n v="4"/>
    <x v="0"/>
    <x v="3"/>
    <s v="Divorced"/>
    <n v="13225"/>
    <n v="7739"/>
    <n v="2"/>
    <s v="Y"/>
    <x v="1"/>
    <n v="12"/>
    <n v="3"/>
    <n v="4"/>
    <n v="80"/>
    <n v="1"/>
    <n v="25"/>
    <n v="5"/>
    <x v="1"/>
    <n v="19"/>
    <n v="17"/>
    <n v="2"/>
    <n v="8"/>
    <x v="0"/>
    <x v="2"/>
  </r>
  <r>
    <n v="27"/>
    <x v="1"/>
    <s v="Travel_Rarely"/>
    <n v="728"/>
    <x v="0"/>
    <n v="23"/>
    <n v="1"/>
    <s v="Medical"/>
    <n v="1"/>
    <x v="1328"/>
    <n v="2"/>
    <s v="Female"/>
    <n v="36"/>
    <n v="2"/>
    <n v="2"/>
    <x v="6"/>
    <x v="2"/>
    <s v="Married"/>
    <n v="3540"/>
    <n v="7018"/>
    <n v="1"/>
    <s v="Y"/>
    <x v="1"/>
    <n v="21"/>
    <n v="4"/>
    <n v="4"/>
    <n v="80"/>
    <n v="1"/>
    <n v="9"/>
    <n v="5"/>
    <x v="1"/>
    <n v="9"/>
    <n v="8"/>
    <n v="5"/>
    <n v="8"/>
    <x v="2"/>
    <x v="1"/>
  </r>
  <r>
    <n v="29"/>
    <x v="1"/>
    <s v="Travel_Rarely"/>
    <n v="352"/>
    <x v="2"/>
    <n v="6"/>
    <n v="1"/>
    <s v="Medical"/>
    <n v="1"/>
    <x v="1329"/>
    <n v="4"/>
    <s v="Male"/>
    <n v="87"/>
    <n v="2"/>
    <n v="1"/>
    <x v="8"/>
    <x v="1"/>
    <s v="Married"/>
    <n v="2804"/>
    <n v="15434"/>
    <n v="1"/>
    <s v="Y"/>
    <x v="1"/>
    <n v="11"/>
    <n v="3"/>
    <n v="4"/>
    <n v="80"/>
    <n v="0"/>
    <n v="1"/>
    <n v="3"/>
    <x v="1"/>
    <n v="1"/>
    <n v="0"/>
    <n v="0"/>
    <n v="0"/>
    <x v="2"/>
    <x v="1"/>
  </r>
  <r>
    <n v="43"/>
    <x v="1"/>
    <s v="Travel_Rarely"/>
    <n v="823"/>
    <x v="1"/>
    <n v="6"/>
    <n v="3"/>
    <s v="Medical"/>
    <n v="1"/>
    <x v="1330"/>
    <n v="1"/>
    <s v="Female"/>
    <n v="81"/>
    <n v="2"/>
    <n v="5"/>
    <x v="5"/>
    <x v="2"/>
    <s v="Married"/>
    <n v="19392"/>
    <n v="22539"/>
    <n v="7"/>
    <s v="Y"/>
    <x v="1"/>
    <n v="13"/>
    <n v="3"/>
    <n v="4"/>
    <n v="80"/>
    <n v="0"/>
    <n v="21"/>
    <n v="2"/>
    <x v="1"/>
    <n v="16"/>
    <n v="12"/>
    <n v="6"/>
    <n v="14"/>
    <x v="0"/>
    <x v="2"/>
  </r>
  <r>
    <n v="48"/>
    <x v="1"/>
    <s v="Travel_Rarely"/>
    <n v="1224"/>
    <x v="1"/>
    <n v="10"/>
    <n v="3"/>
    <s v="Life Sciences"/>
    <n v="1"/>
    <x v="1331"/>
    <n v="4"/>
    <s v="Male"/>
    <n v="91"/>
    <n v="2"/>
    <n v="5"/>
    <x v="7"/>
    <x v="1"/>
    <s v="Married"/>
    <n v="19665"/>
    <n v="13583"/>
    <n v="4"/>
    <s v="Y"/>
    <x v="1"/>
    <n v="12"/>
    <n v="3"/>
    <n v="4"/>
    <n v="80"/>
    <n v="0"/>
    <n v="29"/>
    <n v="3"/>
    <x v="1"/>
    <n v="22"/>
    <n v="10"/>
    <n v="12"/>
    <n v="9"/>
    <x v="0"/>
    <x v="2"/>
  </r>
  <r>
    <n v="29"/>
    <x v="0"/>
    <s v="Travel_Frequently"/>
    <n v="459"/>
    <x v="1"/>
    <n v="24"/>
    <n v="2"/>
    <s v="Life Sciences"/>
    <n v="1"/>
    <x v="1332"/>
    <n v="4"/>
    <s v="Male"/>
    <n v="73"/>
    <n v="2"/>
    <n v="1"/>
    <x v="1"/>
    <x v="0"/>
    <s v="Single"/>
    <n v="2439"/>
    <n v="14753"/>
    <n v="1"/>
    <s v="Y"/>
    <x v="0"/>
    <n v="24"/>
    <n v="4"/>
    <n v="2"/>
    <n v="80"/>
    <n v="0"/>
    <n v="1"/>
    <n v="3"/>
    <x v="2"/>
    <n v="1"/>
    <n v="0"/>
    <n v="1"/>
    <n v="0"/>
    <x v="2"/>
    <x v="1"/>
  </r>
  <r>
    <n v="46"/>
    <x v="0"/>
    <s v="Travel_Rarely"/>
    <n v="1254"/>
    <x v="0"/>
    <n v="10"/>
    <n v="3"/>
    <s v="Life Sciences"/>
    <n v="1"/>
    <x v="1333"/>
    <n v="3"/>
    <s v="Female"/>
    <n v="64"/>
    <n v="3"/>
    <n v="3"/>
    <x v="0"/>
    <x v="1"/>
    <s v="Married"/>
    <n v="7314"/>
    <n v="14011"/>
    <n v="5"/>
    <s v="Y"/>
    <x v="1"/>
    <n v="21"/>
    <n v="4"/>
    <n v="3"/>
    <n v="80"/>
    <n v="3"/>
    <n v="14"/>
    <n v="2"/>
    <x v="1"/>
    <n v="8"/>
    <n v="7"/>
    <n v="0"/>
    <n v="7"/>
    <x v="0"/>
    <x v="2"/>
  </r>
  <r>
    <n v="27"/>
    <x v="1"/>
    <s v="Travel_Frequently"/>
    <n v="1131"/>
    <x v="1"/>
    <n v="15"/>
    <n v="3"/>
    <s v="Life Sciences"/>
    <n v="1"/>
    <x v="1334"/>
    <n v="4"/>
    <s v="Female"/>
    <n v="77"/>
    <n v="2"/>
    <n v="1"/>
    <x v="1"/>
    <x v="3"/>
    <s v="Married"/>
    <n v="4774"/>
    <n v="23844"/>
    <n v="0"/>
    <s v="Y"/>
    <x v="1"/>
    <n v="19"/>
    <n v="3"/>
    <n v="4"/>
    <n v="80"/>
    <n v="1"/>
    <n v="8"/>
    <n v="2"/>
    <x v="2"/>
    <n v="7"/>
    <n v="6"/>
    <n v="7"/>
    <n v="3"/>
    <x v="2"/>
    <x v="0"/>
  </r>
  <r>
    <n v="39"/>
    <x v="1"/>
    <s v="Travel_Rarely"/>
    <n v="835"/>
    <x v="1"/>
    <n v="19"/>
    <n v="4"/>
    <s v="Other"/>
    <n v="1"/>
    <x v="1335"/>
    <n v="4"/>
    <s v="Male"/>
    <n v="41"/>
    <n v="3"/>
    <n v="2"/>
    <x v="1"/>
    <x v="0"/>
    <s v="Divorced"/>
    <n v="3902"/>
    <n v="5141"/>
    <n v="8"/>
    <s v="Y"/>
    <x v="1"/>
    <n v="14"/>
    <n v="3"/>
    <n v="2"/>
    <n v="80"/>
    <n v="3"/>
    <n v="7"/>
    <n v="2"/>
    <x v="1"/>
    <n v="2"/>
    <n v="2"/>
    <n v="2"/>
    <n v="2"/>
    <x v="1"/>
    <x v="1"/>
  </r>
  <r>
    <n v="55"/>
    <x v="1"/>
    <s v="Travel_Rarely"/>
    <n v="836"/>
    <x v="1"/>
    <n v="2"/>
    <n v="4"/>
    <s v="Technical Degree"/>
    <n v="1"/>
    <x v="1336"/>
    <n v="2"/>
    <s v="Male"/>
    <n v="98"/>
    <n v="2"/>
    <n v="1"/>
    <x v="1"/>
    <x v="0"/>
    <s v="Married"/>
    <n v="2662"/>
    <n v="7975"/>
    <n v="8"/>
    <s v="Y"/>
    <x v="1"/>
    <n v="20"/>
    <n v="4"/>
    <n v="2"/>
    <n v="80"/>
    <n v="1"/>
    <n v="19"/>
    <n v="2"/>
    <x v="3"/>
    <n v="5"/>
    <n v="2"/>
    <n v="0"/>
    <n v="4"/>
    <x v="3"/>
    <x v="1"/>
  </r>
  <r>
    <n v="28"/>
    <x v="1"/>
    <s v="Travel_Rarely"/>
    <n v="1172"/>
    <x v="0"/>
    <n v="3"/>
    <n v="3"/>
    <s v="Medical"/>
    <n v="1"/>
    <x v="1337"/>
    <n v="2"/>
    <s v="Female"/>
    <n v="78"/>
    <n v="3"/>
    <n v="1"/>
    <x v="6"/>
    <x v="1"/>
    <s v="Married"/>
    <n v="2856"/>
    <n v="3692"/>
    <n v="1"/>
    <s v="Y"/>
    <x v="1"/>
    <n v="19"/>
    <n v="3"/>
    <n v="4"/>
    <n v="80"/>
    <n v="1"/>
    <n v="1"/>
    <n v="3"/>
    <x v="1"/>
    <n v="1"/>
    <n v="0"/>
    <n v="0"/>
    <n v="0"/>
    <x v="2"/>
    <x v="1"/>
  </r>
  <r>
    <n v="30"/>
    <x v="0"/>
    <s v="Travel_Rarely"/>
    <n v="945"/>
    <x v="0"/>
    <n v="9"/>
    <n v="3"/>
    <s v="Medical"/>
    <n v="1"/>
    <x v="1338"/>
    <n v="2"/>
    <s v="Male"/>
    <n v="89"/>
    <n v="3"/>
    <n v="1"/>
    <x v="6"/>
    <x v="0"/>
    <s v="Single"/>
    <n v="1081"/>
    <n v="16019"/>
    <n v="1"/>
    <s v="Y"/>
    <x v="1"/>
    <n v="13"/>
    <n v="3"/>
    <n v="3"/>
    <n v="80"/>
    <n v="0"/>
    <n v="1"/>
    <n v="3"/>
    <x v="2"/>
    <n v="1"/>
    <n v="0"/>
    <n v="0"/>
    <n v="0"/>
    <x v="1"/>
    <x v="1"/>
  </r>
  <r>
    <n v="22"/>
    <x v="0"/>
    <s v="Travel_Rarely"/>
    <n v="391"/>
    <x v="1"/>
    <n v="7"/>
    <n v="1"/>
    <s v="Life Sciences"/>
    <n v="1"/>
    <x v="1339"/>
    <n v="4"/>
    <s v="Male"/>
    <n v="75"/>
    <n v="3"/>
    <n v="1"/>
    <x v="1"/>
    <x v="1"/>
    <s v="Single"/>
    <n v="2472"/>
    <n v="26092"/>
    <n v="1"/>
    <s v="Y"/>
    <x v="0"/>
    <n v="23"/>
    <n v="4"/>
    <n v="1"/>
    <n v="80"/>
    <n v="0"/>
    <n v="1"/>
    <n v="2"/>
    <x v="1"/>
    <n v="1"/>
    <n v="0"/>
    <n v="0"/>
    <n v="0"/>
    <x v="2"/>
    <x v="1"/>
  </r>
  <r>
    <n v="36"/>
    <x v="1"/>
    <s v="Travel_Rarely"/>
    <n v="1266"/>
    <x v="0"/>
    <n v="10"/>
    <n v="4"/>
    <s v="Technical Degree"/>
    <n v="1"/>
    <x v="1340"/>
    <n v="2"/>
    <s v="Female"/>
    <n v="63"/>
    <n v="2"/>
    <n v="2"/>
    <x v="0"/>
    <x v="2"/>
    <s v="Married"/>
    <n v="5673"/>
    <n v="6060"/>
    <n v="1"/>
    <s v="Y"/>
    <x v="0"/>
    <n v="13"/>
    <n v="3"/>
    <n v="1"/>
    <n v="80"/>
    <n v="1"/>
    <n v="10"/>
    <n v="4"/>
    <x v="1"/>
    <n v="10"/>
    <n v="9"/>
    <n v="1"/>
    <n v="7"/>
    <x v="1"/>
    <x v="0"/>
  </r>
  <r>
    <n v="31"/>
    <x v="1"/>
    <s v="Travel_Rarely"/>
    <n v="311"/>
    <x v="1"/>
    <n v="20"/>
    <n v="3"/>
    <s v="Life Sciences"/>
    <n v="1"/>
    <x v="1341"/>
    <n v="2"/>
    <s v="Male"/>
    <n v="89"/>
    <n v="3"/>
    <n v="2"/>
    <x v="2"/>
    <x v="2"/>
    <s v="Divorced"/>
    <n v="4197"/>
    <n v="18624"/>
    <n v="1"/>
    <s v="Y"/>
    <x v="1"/>
    <n v="11"/>
    <n v="3"/>
    <n v="1"/>
    <n v="80"/>
    <n v="1"/>
    <n v="10"/>
    <n v="2"/>
    <x v="1"/>
    <n v="10"/>
    <n v="8"/>
    <n v="0"/>
    <n v="2"/>
    <x v="1"/>
    <x v="0"/>
  </r>
  <r>
    <n v="34"/>
    <x v="1"/>
    <s v="Travel_Rarely"/>
    <n v="1480"/>
    <x v="0"/>
    <n v="4"/>
    <n v="3"/>
    <s v="Life Sciences"/>
    <n v="1"/>
    <x v="1342"/>
    <n v="3"/>
    <s v="Male"/>
    <n v="64"/>
    <n v="3"/>
    <n v="3"/>
    <x v="0"/>
    <x v="0"/>
    <s v="Married"/>
    <n v="9713"/>
    <n v="24444"/>
    <n v="2"/>
    <s v="Y"/>
    <x v="0"/>
    <n v="13"/>
    <n v="3"/>
    <n v="4"/>
    <n v="80"/>
    <n v="3"/>
    <n v="9"/>
    <n v="3"/>
    <x v="1"/>
    <n v="5"/>
    <n v="3"/>
    <n v="1"/>
    <n v="0"/>
    <x v="1"/>
    <x v="2"/>
  </r>
  <r>
    <n v="29"/>
    <x v="1"/>
    <s v="Travel_Rarely"/>
    <n v="592"/>
    <x v="1"/>
    <n v="7"/>
    <n v="3"/>
    <s v="Life Sciences"/>
    <n v="1"/>
    <x v="1343"/>
    <n v="4"/>
    <s v="Male"/>
    <n v="59"/>
    <n v="3"/>
    <n v="1"/>
    <x v="2"/>
    <x v="3"/>
    <s v="Single"/>
    <n v="2062"/>
    <n v="19384"/>
    <n v="3"/>
    <s v="Y"/>
    <x v="1"/>
    <n v="14"/>
    <n v="3"/>
    <n v="2"/>
    <n v="80"/>
    <n v="0"/>
    <n v="11"/>
    <n v="2"/>
    <x v="1"/>
    <n v="3"/>
    <n v="2"/>
    <n v="1"/>
    <n v="2"/>
    <x v="2"/>
    <x v="1"/>
  </r>
  <r>
    <n v="37"/>
    <x v="1"/>
    <s v="Travel_Rarely"/>
    <n v="783"/>
    <x v="1"/>
    <n v="7"/>
    <n v="4"/>
    <s v="Medical"/>
    <n v="1"/>
    <x v="1344"/>
    <n v="4"/>
    <s v="Male"/>
    <n v="78"/>
    <n v="3"/>
    <n v="2"/>
    <x v="1"/>
    <x v="3"/>
    <s v="Married"/>
    <n v="4284"/>
    <n v="13588"/>
    <n v="5"/>
    <s v="Y"/>
    <x v="0"/>
    <n v="22"/>
    <n v="4"/>
    <n v="3"/>
    <n v="80"/>
    <n v="1"/>
    <n v="16"/>
    <n v="2"/>
    <x v="1"/>
    <n v="5"/>
    <n v="3"/>
    <n v="0"/>
    <n v="4"/>
    <x v="1"/>
    <x v="0"/>
  </r>
  <r>
    <n v="35"/>
    <x v="1"/>
    <s v="Travel_Rarely"/>
    <n v="219"/>
    <x v="1"/>
    <n v="16"/>
    <n v="2"/>
    <s v="Other"/>
    <n v="1"/>
    <x v="1345"/>
    <n v="4"/>
    <s v="Female"/>
    <n v="44"/>
    <n v="2"/>
    <n v="2"/>
    <x v="3"/>
    <x v="1"/>
    <s v="Married"/>
    <n v="4788"/>
    <n v="25388"/>
    <n v="0"/>
    <s v="Y"/>
    <x v="0"/>
    <n v="11"/>
    <n v="3"/>
    <n v="4"/>
    <n v="80"/>
    <n v="0"/>
    <n v="4"/>
    <n v="2"/>
    <x v="1"/>
    <n v="3"/>
    <n v="2"/>
    <n v="0"/>
    <n v="2"/>
    <x v="1"/>
    <x v="0"/>
  </r>
  <r>
    <n v="45"/>
    <x v="1"/>
    <s v="Travel_Rarely"/>
    <n v="556"/>
    <x v="1"/>
    <n v="25"/>
    <n v="2"/>
    <s v="Life Sciences"/>
    <n v="1"/>
    <x v="1346"/>
    <n v="2"/>
    <s v="Female"/>
    <n v="93"/>
    <n v="2"/>
    <n v="2"/>
    <x v="3"/>
    <x v="0"/>
    <s v="Married"/>
    <n v="5906"/>
    <n v="23888"/>
    <n v="0"/>
    <s v="Y"/>
    <x v="1"/>
    <n v="13"/>
    <n v="3"/>
    <n v="4"/>
    <n v="80"/>
    <n v="2"/>
    <n v="10"/>
    <n v="2"/>
    <x v="2"/>
    <n v="9"/>
    <n v="8"/>
    <n v="3"/>
    <n v="8"/>
    <x v="0"/>
    <x v="0"/>
  </r>
  <r>
    <n v="36"/>
    <x v="1"/>
    <s v="Travel_Frequently"/>
    <n v="1213"/>
    <x v="2"/>
    <n v="2"/>
    <n v="1"/>
    <s v="Human Resources"/>
    <n v="1"/>
    <x v="1347"/>
    <n v="2"/>
    <s v="Male"/>
    <n v="94"/>
    <n v="2"/>
    <n v="2"/>
    <x v="8"/>
    <x v="0"/>
    <s v="Single"/>
    <n v="3886"/>
    <n v="4223"/>
    <n v="1"/>
    <s v="Y"/>
    <x v="1"/>
    <n v="21"/>
    <n v="4"/>
    <n v="4"/>
    <n v="80"/>
    <n v="0"/>
    <n v="10"/>
    <n v="2"/>
    <x v="2"/>
    <n v="10"/>
    <n v="1"/>
    <n v="0"/>
    <n v="8"/>
    <x v="1"/>
    <x v="1"/>
  </r>
  <r>
    <n v="40"/>
    <x v="1"/>
    <s v="Travel_Rarely"/>
    <n v="1137"/>
    <x v="1"/>
    <n v="1"/>
    <n v="4"/>
    <s v="Life Sciences"/>
    <n v="1"/>
    <x v="1348"/>
    <n v="1"/>
    <s v="Male"/>
    <n v="98"/>
    <n v="3"/>
    <n v="4"/>
    <x v="5"/>
    <x v="3"/>
    <s v="Divorced"/>
    <n v="16823"/>
    <n v="18991"/>
    <n v="2"/>
    <s v="Y"/>
    <x v="1"/>
    <n v="11"/>
    <n v="3"/>
    <n v="1"/>
    <n v="80"/>
    <n v="1"/>
    <n v="22"/>
    <n v="3"/>
    <x v="1"/>
    <n v="19"/>
    <n v="7"/>
    <n v="11"/>
    <n v="16"/>
    <x v="1"/>
    <x v="2"/>
  </r>
  <r>
    <n v="26"/>
    <x v="1"/>
    <s v="Travel_Rarely"/>
    <n v="482"/>
    <x v="1"/>
    <n v="1"/>
    <n v="2"/>
    <s v="Life Sciences"/>
    <n v="1"/>
    <x v="1349"/>
    <n v="2"/>
    <s v="Female"/>
    <n v="90"/>
    <n v="2"/>
    <n v="1"/>
    <x v="1"/>
    <x v="2"/>
    <s v="Married"/>
    <n v="2933"/>
    <n v="14908"/>
    <n v="1"/>
    <s v="Y"/>
    <x v="0"/>
    <n v="13"/>
    <n v="3"/>
    <n v="3"/>
    <n v="80"/>
    <n v="1"/>
    <n v="1"/>
    <n v="3"/>
    <x v="2"/>
    <n v="1"/>
    <n v="0"/>
    <n v="1"/>
    <n v="0"/>
    <x v="2"/>
    <x v="1"/>
  </r>
  <r>
    <n v="27"/>
    <x v="1"/>
    <s v="Travel_Rarely"/>
    <n v="511"/>
    <x v="0"/>
    <n v="2"/>
    <n v="2"/>
    <s v="Medical"/>
    <n v="1"/>
    <x v="1350"/>
    <n v="1"/>
    <s v="Female"/>
    <n v="89"/>
    <n v="4"/>
    <n v="2"/>
    <x v="0"/>
    <x v="2"/>
    <s v="Single"/>
    <n v="6500"/>
    <n v="26997"/>
    <n v="0"/>
    <s v="Y"/>
    <x v="1"/>
    <n v="14"/>
    <n v="3"/>
    <n v="2"/>
    <n v="80"/>
    <n v="0"/>
    <n v="9"/>
    <n v="5"/>
    <x v="2"/>
    <n v="8"/>
    <n v="7"/>
    <n v="0"/>
    <n v="7"/>
    <x v="2"/>
    <x v="0"/>
  </r>
  <r>
    <n v="48"/>
    <x v="1"/>
    <s v="Travel_Frequently"/>
    <n v="117"/>
    <x v="1"/>
    <n v="22"/>
    <n v="3"/>
    <s v="Medical"/>
    <n v="1"/>
    <x v="1351"/>
    <n v="4"/>
    <s v="Female"/>
    <n v="58"/>
    <n v="3"/>
    <n v="4"/>
    <x v="5"/>
    <x v="0"/>
    <s v="Divorced"/>
    <n v="17174"/>
    <n v="2437"/>
    <n v="3"/>
    <s v="Y"/>
    <x v="1"/>
    <n v="11"/>
    <n v="3"/>
    <n v="2"/>
    <n v="80"/>
    <n v="1"/>
    <n v="24"/>
    <n v="3"/>
    <x v="1"/>
    <n v="22"/>
    <n v="17"/>
    <n v="4"/>
    <n v="7"/>
    <x v="0"/>
    <x v="2"/>
  </r>
  <r>
    <n v="44"/>
    <x v="1"/>
    <s v="Travel_Rarely"/>
    <n v="170"/>
    <x v="1"/>
    <n v="1"/>
    <n v="4"/>
    <s v="Life Sciences"/>
    <n v="1"/>
    <x v="1352"/>
    <n v="2"/>
    <s v="Male"/>
    <n v="78"/>
    <n v="4"/>
    <n v="2"/>
    <x v="4"/>
    <x v="3"/>
    <s v="Married"/>
    <n v="5033"/>
    <n v="9364"/>
    <n v="2"/>
    <s v="Y"/>
    <x v="1"/>
    <n v="15"/>
    <n v="3"/>
    <n v="4"/>
    <n v="80"/>
    <n v="1"/>
    <n v="10"/>
    <n v="5"/>
    <x v="1"/>
    <n v="2"/>
    <n v="0"/>
    <n v="2"/>
    <n v="2"/>
    <x v="0"/>
    <x v="0"/>
  </r>
  <r>
    <n v="34"/>
    <x v="0"/>
    <s v="Non-Travel"/>
    <n v="967"/>
    <x v="1"/>
    <n v="16"/>
    <n v="4"/>
    <s v="Technical Degree"/>
    <n v="1"/>
    <x v="1353"/>
    <n v="4"/>
    <s v="Male"/>
    <n v="85"/>
    <n v="1"/>
    <n v="1"/>
    <x v="1"/>
    <x v="3"/>
    <s v="Married"/>
    <n v="2307"/>
    <n v="14460"/>
    <n v="1"/>
    <s v="Y"/>
    <x v="0"/>
    <n v="23"/>
    <n v="4"/>
    <n v="2"/>
    <n v="80"/>
    <n v="1"/>
    <n v="5"/>
    <n v="2"/>
    <x v="1"/>
    <n v="5"/>
    <n v="2"/>
    <n v="3"/>
    <n v="0"/>
    <x v="1"/>
    <x v="1"/>
  </r>
  <r>
    <n v="56"/>
    <x v="0"/>
    <s v="Travel_Rarely"/>
    <n v="1162"/>
    <x v="1"/>
    <n v="24"/>
    <n v="2"/>
    <s v="Life Sciences"/>
    <n v="1"/>
    <x v="1354"/>
    <n v="1"/>
    <s v="Male"/>
    <n v="97"/>
    <n v="3"/>
    <n v="1"/>
    <x v="2"/>
    <x v="0"/>
    <s v="Single"/>
    <n v="2587"/>
    <n v="10261"/>
    <n v="1"/>
    <s v="Y"/>
    <x v="1"/>
    <n v="16"/>
    <n v="3"/>
    <n v="4"/>
    <n v="80"/>
    <n v="0"/>
    <n v="5"/>
    <n v="3"/>
    <x v="1"/>
    <n v="4"/>
    <n v="2"/>
    <n v="1"/>
    <n v="0"/>
    <x v="3"/>
    <x v="1"/>
  </r>
  <r>
    <n v="36"/>
    <x v="1"/>
    <s v="Travel_Rarely"/>
    <n v="335"/>
    <x v="0"/>
    <n v="17"/>
    <n v="2"/>
    <s v="Marketing"/>
    <n v="1"/>
    <x v="1355"/>
    <n v="3"/>
    <s v="Male"/>
    <n v="33"/>
    <n v="2"/>
    <n v="2"/>
    <x v="0"/>
    <x v="1"/>
    <s v="Married"/>
    <n v="5507"/>
    <n v="16822"/>
    <n v="2"/>
    <s v="Y"/>
    <x v="1"/>
    <n v="16"/>
    <n v="3"/>
    <n v="3"/>
    <n v="80"/>
    <n v="2"/>
    <n v="12"/>
    <n v="1"/>
    <x v="0"/>
    <n v="4"/>
    <n v="2"/>
    <n v="1"/>
    <n v="3"/>
    <x v="1"/>
    <x v="0"/>
  </r>
  <r>
    <n v="41"/>
    <x v="1"/>
    <s v="Travel_Rarely"/>
    <n v="337"/>
    <x v="0"/>
    <n v="8"/>
    <n v="3"/>
    <s v="Marketing"/>
    <n v="1"/>
    <x v="1356"/>
    <n v="3"/>
    <s v="Female"/>
    <n v="54"/>
    <n v="3"/>
    <n v="2"/>
    <x v="0"/>
    <x v="1"/>
    <s v="Married"/>
    <n v="4393"/>
    <n v="26841"/>
    <n v="5"/>
    <s v="Y"/>
    <x v="1"/>
    <n v="21"/>
    <n v="4"/>
    <n v="3"/>
    <n v="80"/>
    <n v="1"/>
    <n v="14"/>
    <n v="3"/>
    <x v="1"/>
    <n v="5"/>
    <n v="4"/>
    <n v="1"/>
    <n v="4"/>
    <x v="0"/>
    <x v="0"/>
  </r>
  <r>
    <n v="42"/>
    <x v="1"/>
    <s v="Travel_Rarely"/>
    <n v="1396"/>
    <x v="1"/>
    <n v="6"/>
    <n v="3"/>
    <s v="Medical"/>
    <n v="1"/>
    <x v="1357"/>
    <n v="3"/>
    <s v="Male"/>
    <n v="83"/>
    <n v="3"/>
    <n v="3"/>
    <x v="7"/>
    <x v="3"/>
    <s v="Married"/>
    <n v="13348"/>
    <n v="14842"/>
    <n v="9"/>
    <s v="Y"/>
    <x v="1"/>
    <n v="13"/>
    <n v="3"/>
    <n v="2"/>
    <n v="80"/>
    <n v="1"/>
    <n v="18"/>
    <n v="3"/>
    <x v="3"/>
    <n v="13"/>
    <n v="7"/>
    <n v="5"/>
    <n v="7"/>
    <x v="0"/>
    <x v="2"/>
  </r>
  <r>
    <n v="31"/>
    <x v="1"/>
    <s v="Travel_Rarely"/>
    <n v="1079"/>
    <x v="0"/>
    <n v="10"/>
    <n v="2"/>
    <s v="Medical"/>
    <n v="1"/>
    <x v="1358"/>
    <n v="3"/>
    <s v="Female"/>
    <n v="86"/>
    <n v="3"/>
    <n v="2"/>
    <x v="0"/>
    <x v="0"/>
    <s v="Divorced"/>
    <n v="6583"/>
    <n v="20115"/>
    <n v="2"/>
    <s v="Y"/>
    <x v="0"/>
    <n v="11"/>
    <n v="3"/>
    <n v="4"/>
    <n v="80"/>
    <n v="1"/>
    <n v="8"/>
    <n v="2"/>
    <x v="1"/>
    <n v="5"/>
    <n v="2"/>
    <n v="1"/>
    <n v="4"/>
    <x v="1"/>
    <x v="0"/>
  </r>
  <r>
    <n v="34"/>
    <x v="1"/>
    <s v="Travel_Rarely"/>
    <n v="735"/>
    <x v="0"/>
    <n v="3"/>
    <n v="1"/>
    <s v="Medical"/>
    <n v="1"/>
    <x v="1359"/>
    <n v="4"/>
    <s v="Female"/>
    <n v="75"/>
    <n v="2"/>
    <n v="2"/>
    <x v="0"/>
    <x v="0"/>
    <s v="Married"/>
    <n v="8103"/>
    <n v="16495"/>
    <n v="3"/>
    <s v="Y"/>
    <x v="0"/>
    <n v="12"/>
    <n v="3"/>
    <n v="3"/>
    <n v="80"/>
    <n v="0"/>
    <n v="9"/>
    <n v="3"/>
    <x v="2"/>
    <n v="4"/>
    <n v="2"/>
    <n v="0"/>
    <n v="1"/>
    <x v="1"/>
    <x v="2"/>
  </r>
  <r>
    <n v="31"/>
    <x v="1"/>
    <s v="Travel_Rarely"/>
    <n v="471"/>
    <x v="1"/>
    <n v="4"/>
    <n v="3"/>
    <s v="Medical"/>
    <n v="1"/>
    <x v="1360"/>
    <n v="1"/>
    <s v="Female"/>
    <n v="62"/>
    <n v="4"/>
    <n v="1"/>
    <x v="2"/>
    <x v="2"/>
    <s v="Divorced"/>
    <n v="3978"/>
    <n v="16031"/>
    <n v="8"/>
    <s v="Y"/>
    <x v="1"/>
    <n v="12"/>
    <n v="3"/>
    <n v="2"/>
    <n v="80"/>
    <n v="1"/>
    <n v="4"/>
    <n v="0"/>
    <x v="2"/>
    <n v="2"/>
    <n v="2"/>
    <n v="2"/>
    <n v="2"/>
    <x v="1"/>
    <x v="1"/>
  </r>
  <r>
    <n v="26"/>
    <x v="1"/>
    <s v="Travel_Frequently"/>
    <n v="1096"/>
    <x v="1"/>
    <n v="6"/>
    <n v="3"/>
    <s v="Other"/>
    <n v="1"/>
    <x v="1361"/>
    <n v="3"/>
    <s v="Male"/>
    <n v="61"/>
    <n v="4"/>
    <n v="1"/>
    <x v="2"/>
    <x v="0"/>
    <s v="Married"/>
    <n v="2544"/>
    <n v="7102"/>
    <n v="0"/>
    <s v="Y"/>
    <x v="1"/>
    <n v="18"/>
    <n v="3"/>
    <n v="1"/>
    <n v="80"/>
    <n v="1"/>
    <n v="8"/>
    <n v="3"/>
    <x v="1"/>
    <n v="7"/>
    <n v="7"/>
    <n v="7"/>
    <n v="7"/>
    <x v="2"/>
    <x v="1"/>
  </r>
  <r>
    <n v="45"/>
    <x v="1"/>
    <s v="Travel_Frequently"/>
    <n v="1297"/>
    <x v="1"/>
    <n v="1"/>
    <n v="4"/>
    <s v="Medical"/>
    <n v="1"/>
    <x v="1362"/>
    <n v="2"/>
    <s v="Male"/>
    <n v="44"/>
    <n v="3"/>
    <n v="2"/>
    <x v="4"/>
    <x v="2"/>
    <s v="Single"/>
    <n v="5399"/>
    <n v="14511"/>
    <n v="4"/>
    <s v="Y"/>
    <x v="1"/>
    <n v="12"/>
    <n v="3"/>
    <n v="3"/>
    <n v="80"/>
    <n v="0"/>
    <n v="12"/>
    <n v="3"/>
    <x v="1"/>
    <n v="4"/>
    <n v="2"/>
    <n v="0"/>
    <n v="3"/>
    <x v="0"/>
    <x v="0"/>
  </r>
  <r>
    <n v="33"/>
    <x v="1"/>
    <s v="Travel_Rarely"/>
    <n v="217"/>
    <x v="0"/>
    <n v="10"/>
    <n v="4"/>
    <s v="Marketing"/>
    <n v="1"/>
    <x v="1363"/>
    <n v="2"/>
    <s v="Male"/>
    <n v="43"/>
    <n v="3"/>
    <n v="2"/>
    <x v="0"/>
    <x v="2"/>
    <s v="Single"/>
    <n v="5487"/>
    <n v="10410"/>
    <n v="1"/>
    <s v="Y"/>
    <x v="1"/>
    <n v="14"/>
    <n v="3"/>
    <n v="2"/>
    <n v="80"/>
    <n v="0"/>
    <n v="10"/>
    <n v="2"/>
    <x v="2"/>
    <n v="10"/>
    <n v="4"/>
    <n v="0"/>
    <n v="9"/>
    <x v="1"/>
    <x v="0"/>
  </r>
  <r>
    <n v="28"/>
    <x v="1"/>
    <s v="Travel_Frequently"/>
    <n v="783"/>
    <x v="0"/>
    <n v="1"/>
    <n v="2"/>
    <s v="Life Sciences"/>
    <n v="1"/>
    <x v="1364"/>
    <n v="3"/>
    <s v="Male"/>
    <n v="42"/>
    <n v="2"/>
    <n v="2"/>
    <x v="0"/>
    <x v="0"/>
    <s v="Married"/>
    <n v="6834"/>
    <n v="19255"/>
    <n v="1"/>
    <s v="Y"/>
    <x v="0"/>
    <n v="12"/>
    <n v="3"/>
    <n v="3"/>
    <n v="80"/>
    <n v="1"/>
    <n v="7"/>
    <n v="2"/>
    <x v="1"/>
    <n v="7"/>
    <n v="7"/>
    <n v="0"/>
    <n v="7"/>
    <x v="2"/>
    <x v="0"/>
  </r>
  <r>
    <n v="29"/>
    <x v="0"/>
    <s v="Travel_Frequently"/>
    <n v="746"/>
    <x v="0"/>
    <n v="24"/>
    <n v="3"/>
    <s v="Technical Degree"/>
    <n v="1"/>
    <x v="1365"/>
    <n v="3"/>
    <s v="Male"/>
    <n v="45"/>
    <n v="4"/>
    <n v="1"/>
    <x v="6"/>
    <x v="3"/>
    <s v="Single"/>
    <n v="1091"/>
    <n v="10642"/>
    <n v="1"/>
    <s v="Y"/>
    <x v="1"/>
    <n v="17"/>
    <n v="3"/>
    <n v="4"/>
    <n v="80"/>
    <n v="0"/>
    <n v="1"/>
    <n v="3"/>
    <x v="1"/>
    <n v="1"/>
    <n v="0"/>
    <n v="0"/>
    <n v="0"/>
    <x v="2"/>
    <x v="1"/>
  </r>
  <r>
    <n v="39"/>
    <x v="1"/>
    <s v="Non-Travel"/>
    <n v="1251"/>
    <x v="0"/>
    <n v="21"/>
    <n v="4"/>
    <s v="Life Sciences"/>
    <n v="1"/>
    <x v="1366"/>
    <n v="1"/>
    <s v="Female"/>
    <n v="32"/>
    <n v="1"/>
    <n v="2"/>
    <x v="0"/>
    <x v="2"/>
    <s v="Married"/>
    <n v="5736"/>
    <n v="3987"/>
    <n v="6"/>
    <s v="Y"/>
    <x v="1"/>
    <n v="19"/>
    <n v="3"/>
    <n v="3"/>
    <n v="80"/>
    <n v="1"/>
    <n v="10"/>
    <n v="1"/>
    <x v="1"/>
    <n v="3"/>
    <n v="2"/>
    <n v="1"/>
    <n v="2"/>
    <x v="1"/>
    <x v="0"/>
  </r>
  <r>
    <n v="27"/>
    <x v="1"/>
    <s v="Travel_Rarely"/>
    <n v="1354"/>
    <x v="1"/>
    <n v="2"/>
    <n v="4"/>
    <s v="Technical Degree"/>
    <n v="1"/>
    <x v="1367"/>
    <n v="2"/>
    <s v="Male"/>
    <n v="41"/>
    <n v="3"/>
    <n v="1"/>
    <x v="1"/>
    <x v="1"/>
    <s v="Married"/>
    <n v="2226"/>
    <n v="6073"/>
    <n v="1"/>
    <s v="Y"/>
    <x v="1"/>
    <n v="11"/>
    <n v="3"/>
    <n v="3"/>
    <n v="80"/>
    <n v="1"/>
    <n v="6"/>
    <n v="3"/>
    <x v="2"/>
    <n v="5"/>
    <n v="3"/>
    <n v="1"/>
    <n v="2"/>
    <x v="2"/>
    <x v="1"/>
  </r>
  <r>
    <n v="34"/>
    <x v="1"/>
    <s v="Travel_Frequently"/>
    <n v="735"/>
    <x v="1"/>
    <n v="22"/>
    <n v="4"/>
    <s v="Other"/>
    <n v="1"/>
    <x v="1368"/>
    <n v="3"/>
    <s v="Male"/>
    <n v="86"/>
    <n v="2"/>
    <n v="2"/>
    <x v="1"/>
    <x v="0"/>
    <s v="Married"/>
    <n v="5747"/>
    <n v="26496"/>
    <n v="1"/>
    <s v="Y"/>
    <x v="0"/>
    <n v="15"/>
    <n v="3"/>
    <n v="2"/>
    <n v="80"/>
    <n v="0"/>
    <n v="16"/>
    <n v="3"/>
    <x v="1"/>
    <n v="15"/>
    <n v="10"/>
    <n v="6"/>
    <n v="11"/>
    <x v="1"/>
    <x v="0"/>
  </r>
  <r>
    <n v="28"/>
    <x v="0"/>
    <s v="Travel_Rarely"/>
    <n v="1475"/>
    <x v="0"/>
    <n v="13"/>
    <n v="2"/>
    <s v="Marketing"/>
    <n v="1"/>
    <x v="1369"/>
    <n v="4"/>
    <s v="Female"/>
    <n v="84"/>
    <n v="3"/>
    <n v="2"/>
    <x v="0"/>
    <x v="2"/>
    <s v="Single"/>
    <n v="9854"/>
    <n v="23352"/>
    <n v="3"/>
    <s v="Y"/>
    <x v="0"/>
    <n v="11"/>
    <n v="3"/>
    <n v="4"/>
    <n v="80"/>
    <n v="0"/>
    <n v="6"/>
    <n v="0"/>
    <x v="1"/>
    <n v="2"/>
    <n v="0"/>
    <n v="2"/>
    <n v="2"/>
    <x v="2"/>
    <x v="2"/>
  </r>
  <r>
    <n v="47"/>
    <x v="1"/>
    <s v="Non-Travel"/>
    <n v="1169"/>
    <x v="1"/>
    <n v="14"/>
    <n v="4"/>
    <s v="Technical Degree"/>
    <n v="1"/>
    <x v="1370"/>
    <n v="3"/>
    <s v="Male"/>
    <n v="64"/>
    <n v="3"/>
    <n v="2"/>
    <x v="1"/>
    <x v="1"/>
    <s v="Married"/>
    <n v="5467"/>
    <n v="2125"/>
    <n v="8"/>
    <s v="Y"/>
    <x v="1"/>
    <n v="18"/>
    <n v="3"/>
    <n v="3"/>
    <n v="80"/>
    <n v="1"/>
    <n v="16"/>
    <n v="4"/>
    <x v="3"/>
    <n v="8"/>
    <n v="7"/>
    <n v="1"/>
    <n v="7"/>
    <x v="0"/>
    <x v="0"/>
  </r>
  <r>
    <n v="56"/>
    <x v="1"/>
    <s v="Travel_Rarely"/>
    <n v="1443"/>
    <x v="0"/>
    <n v="11"/>
    <n v="5"/>
    <s v="Marketing"/>
    <n v="1"/>
    <x v="1371"/>
    <n v="4"/>
    <s v="Female"/>
    <n v="89"/>
    <n v="2"/>
    <n v="2"/>
    <x v="0"/>
    <x v="3"/>
    <s v="Married"/>
    <n v="5380"/>
    <n v="20328"/>
    <n v="4"/>
    <s v="Y"/>
    <x v="1"/>
    <n v="16"/>
    <n v="3"/>
    <n v="3"/>
    <n v="80"/>
    <n v="1"/>
    <n v="6"/>
    <n v="3"/>
    <x v="1"/>
    <n v="0"/>
    <n v="0"/>
    <n v="0"/>
    <n v="0"/>
    <x v="3"/>
    <x v="0"/>
  </r>
  <r>
    <n v="39"/>
    <x v="1"/>
    <s v="Travel_Rarely"/>
    <n v="867"/>
    <x v="1"/>
    <n v="9"/>
    <n v="2"/>
    <s v="Medical"/>
    <n v="1"/>
    <x v="1372"/>
    <n v="1"/>
    <s v="Male"/>
    <n v="87"/>
    <n v="3"/>
    <n v="2"/>
    <x v="3"/>
    <x v="3"/>
    <s v="Married"/>
    <n v="5151"/>
    <n v="12315"/>
    <n v="1"/>
    <s v="Y"/>
    <x v="1"/>
    <n v="25"/>
    <n v="4"/>
    <n v="4"/>
    <n v="80"/>
    <n v="1"/>
    <n v="10"/>
    <n v="3"/>
    <x v="1"/>
    <n v="10"/>
    <n v="0"/>
    <n v="7"/>
    <n v="9"/>
    <x v="1"/>
    <x v="0"/>
  </r>
  <r>
    <n v="38"/>
    <x v="1"/>
    <s v="Travel_Frequently"/>
    <n v="1394"/>
    <x v="1"/>
    <n v="8"/>
    <n v="3"/>
    <s v="Medical"/>
    <n v="1"/>
    <x v="1373"/>
    <n v="4"/>
    <s v="Female"/>
    <n v="58"/>
    <n v="2"/>
    <n v="2"/>
    <x v="1"/>
    <x v="1"/>
    <s v="Divorced"/>
    <n v="2133"/>
    <n v="18115"/>
    <n v="1"/>
    <s v="Y"/>
    <x v="0"/>
    <n v="16"/>
    <n v="3"/>
    <n v="3"/>
    <n v="80"/>
    <n v="1"/>
    <n v="20"/>
    <n v="3"/>
    <x v="1"/>
    <n v="20"/>
    <n v="11"/>
    <n v="0"/>
    <n v="7"/>
    <x v="1"/>
    <x v="1"/>
  </r>
  <r>
    <n v="58"/>
    <x v="1"/>
    <s v="Travel_Rarely"/>
    <n v="605"/>
    <x v="0"/>
    <n v="21"/>
    <n v="3"/>
    <s v="Life Sciences"/>
    <n v="1"/>
    <x v="1374"/>
    <n v="4"/>
    <s v="Female"/>
    <n v="72"/>
    <n v="3"/>
    <n v="4"/>
    <x v="5"/>
    <x v="0"/>
    <s v="Married"/>
    <n v="17875"/>
    <n v="11761"/>
    <n v="4"/>
    <s v="Y"/>
    <x v="0"/>
    <n v="13"/>
    <n v="3"/>
    <n v="3"/>
    <n v="80"/>
    <n v="1"/>
    <n v="29"/>
    <n v="2"/>
    <x v="2"/>
    <n v="1"/>
    <n v="0"/>
    <n v="0"/>
    <n v="0"/>
    <x v="3"/>
    <x v="2"/>
  </r>
  <r>
    <n v="32"/>
    <x v="0"/>
    <s v="Travel_Frequently"/>
    <n v="238"/>
    <x v="1"/>
    <n v="5"/>
    <n v="2"/>
    <s v="Life Sciences"/>
    <n v="1"/>
    <x v="1375"/>
    <n v="1"/>
    <s v="Female"/>
    <n v="47"/>
    <n v="4"/>
    <n v="1"/>
    <x v="1"/>
    <x v="2"/>
    <s v="Single"/>
    <n v="2432"/>
    <n v="15318"/>
    <n v="3"/>
    <s v="Y"/>
    <x v="0"/>
    <n v="14"/>
    <n v="3"/>
    <n v="1"/>
    <n v="80"/>
    <n v="0"/>
    <n v="8"/>
    <n v="2"/>
    <x v="1"/>
    <n v="4"/>
    <n v="1"/>
    <n v="0"/>
    <n v="3"/>
    <x v="1"/>
    <x v="1"/>
  </r>
  <r>
    <n v="38"/>
    <x v="1"/>
    <s v="Travel_Rarely"/>
    <n v="1206"/>
    <x v="1"/>
    <n v="9"/>
    <n v="2"/>
    <s v="Life Sciences"/>
    <n v="1"/>
    <x v="1376"/>
    <n v="2"/>
    <s v="Male"/>
    <n v="71"/>
    <n v="3"/>
    <n v="1"/>
    <x v="1"/>
    <x v="0"/>
    <s v="Divorced"/>
    <n v="4771"/>
    <n v="14293"/>
    <n v="2"/>
    <s v="Y"/>
    <x v="1"/>
    <n v="19"/>
    <n v="3"/>
    <n v="4"/>
    <n v="80"/>
    <n v="2"/>
    <n v="10"/>
    <n v="0"/>
    <x v="3"/>
    <n v="5"/>
    <n v="2"/>
    <n v="0"/>
    <n v="3"/>
    <x v="1"/>
    <x v="0"/>
  </r>
  <r>
    <n v="49"/>
    <x v="1"/>
    <s v="Travel_Frequently"/>
    <n v="1064"/>
    <x v="1"/>
    <n v="2"/>
    <n v="1"/>
    <s v="Life Sciences"/>
    <n v="1"/>
    <x v="1377"/>
    <n v="2"/>
    <s v="Male"/>
    <n v="42"/>
    <n v="3"/>
    <n v="5"/>
    <x v="7"/>
    <x v="0"/>
    <s v="Married"/>
    <n v="19161"/>
    <n v="13738"/>
    <n v="3"/>
    <s v="Y"/>
    <x v="1"/>
    <n v="15"/>
    <n v="3"/>
    <n v="4"/>
    <n v="80"/>
    <n v="0"/>
    <n v="28"/>
    <n v="3"/>
    <x v="1"/>
    <n v="5"/>
    <n v="4"/>
    <n v="4"/>
    <n v="3"/>
    <x v="0"/>
    <x v="2"/>
  </r>
  <r>
    <n v="42"/>
    <x v="1"/>
    <s v="Travel_Rarely"/>
    <n v="419"/>
    <x v="0"/>
    <n v="12"/>
    <n v="4"/>
    <s v="Marketing"/>
    <n v="1"/>
    <x v="1378"/>
    <n v="2"/>
    <s v="Male"/>
    <n v="77"/>
    <n v="3"/>
    <n v="2"/>
    <x v="0"/>
    <x v="0"/>
    <s v="Divorced"/>
    <n v="5087"/>
    <n v="2900"/>
    <n v="3"/>
    <s v="Y"/>
    <x v="0"/>
    <n v="12"/>
    <n v="3"/>
    <n v="3"/>
    <n v="80"/>
    <n v="2"/>
    <n v="14"/>
    <n v="4"/>
    <x v="1"/>
    <n v="0"/>
    <n v="0"/>
    <n v="0"/>
    <n v="0"/>
    <x v="0"/>
    <x v="0"/>
  </r>
  <r>
    <n v="27"/>
    <x v="0"/>
    <s v="Travel_Frequently"/>
    <n v="1337"/>
    <x v="2"/>
    <n v="22"/>
    <n v="3"/>
    <s v="Human Resources"/>
    <n v="1"/>
    <x v="1379"/>
    <n v="1"/>
    <s v="Female"/>
    <n v="58"/>
    <n v="2"/>
    <n v="1"/>
    <x v="8"/>
    <x v="1"/>
    <s v="Married"/>
    <n v="2863"/>
    <n v="19555"/>
    <n v="1"/>
    <s v="Y"/>
    <x v="1"/>
    <n v="12"/>
    <n v="3"/>
    <n v="1"/>
    <n v="80"/>
    <n v="0"/>
    <n v="1"/>
    <n v="2"/>
    <x v="1"/>
    <n v="1"/>
    <n v="0"/>
    <n v="0"/>
    <n v="0"/>
    <x v="2"/>
    <x v="1"/>
  </r>
  <r>
    <n v="35"/>
    <x v="1"/>
    <s v="Travel_Rarely"/>
    <n v="682"/>
    <x v="0"/>
    <n v="18"/>
    <n v="4"/>
    <s v="Medical"/>
    <n v="1"/>
    <x v="1380"/>
    <n v="2"/>
    <s v="Male"/>
    <n v="71"/>
    <n v="3"/>
    <n v="2"/>
    <x v="0"/>
    <x v="3"/>
    <s v="Married"/>
    <n v="5561"/>
    <n v="15975"/>
    <n v="0"/>
    <s v="Y"/>
    <x v="1"/>
    <n v="16"/>
    <n v="3"/>
    <n v="4"/>
    <n v="80"/>
    <n v="1"/>
    <n v="6"/>
    <n v="2"/>
    <x v="0"/>
    <n v="5"/>
    <n v="3"/>
    <n v="0"/>
    <n v="4"/>
    <x v="1"/>
    <x v="0"/>
  </r>
  <r>
    <n v="28"/>
    <x v="1"/>
    <s v="Non-Travel"/>
    <n v="1103"/>
    <x v="1"/>
    <n v="16"/>
    <n v="3"/>
    <s v="Medical"/>
    <n v="1"/>
    <x v="1381"/>
    <n v="3"/>
    <s v="Male"/>
    <n v="49"/>
    <n v="3"/>
    <n v="1"/>
    <x v="1"/>
    <x v="2"/>
    <s v="Single"/>
    <n v="2144"/>
    <n v="2122"/>
    <n v="1"/>
    <s v="Y"/>
    <x v="1"/>
    <n v="14"/>
    <n v="3"/>
    <n v="3"/>
    <n v="80"/>
    <n v="0"/>
    <n v="5"/>
    <n v="3"/>
    <x v="2"/>
    <n v="5"/>
    <n v="3"/>
    <n v="1"/>
    <n v="4"/>
    <x v="2"/>
    <x v="1"/>
  </r>
  <r>
    <n v="31"/>
    <x v="1"/>
    <s v="Non-Travel"/>
    <n v="976"/>
    <x v="1"/>
    <n v="3"/>
    <n v="2"/>
    <s v="Medical"/>
    <n v="1"/>
    <x v="1382"/>
    <n v="3"/>
    <s v="Male"/>
    <n v="48"/>
    <n v="3"/>
    <n v="1"/>
    <x v="1"/>
    <x v="3"/>
    <s v="Divorced"/>
    <n v="3065"/>
    <n v="3995"/>
    <n v="1"/>
    <s v="Y"/>
    <x v="0"/>
    <n v="13"/>
    <n v="3"/>
    <n v="4"/>
    <n v="80"/>
    <n v="1"/>
    <n v="4"/>
    <n v="3"/>
    <x v="3"/>
    <n v="4"/>
    <n v="2"/>
    <n v="2"/>
    <n v="3"/>
    <x v="1"/>
    <x v="1"/>
  </r>
  <r>
    <n v="36"/>
    <x v="1"/>
    <s v="Non-Travel"/>
    <n v="1351"/>
    <x v="1"/>
    <n v="9"/>
    <n v="4"/>
    <s v="Life Sciences"/>
    <n v="1"/>
    <x v="1383"/>
    <n v="1"/>
    <s v="Male"/>
    <n v="66"/>
    <n v="4"/>
    <n v="1"/>
    <x v="2"/>
    <x v="1"/>
    <s v="Married"/>
    <n v="2810"/>
    <n v="9238"/>
    <n v="1"/>
    <s v="Y"/>
    <x v="1"/>
    <n v="22"/>
    <n v="4"/>
    <n v="2"/>
    <n v="80"/>
    <n v="0"/>
    <n v="5"/>
    <n v="3"/>
    <x v="1"/>
    <n v="5"/>
    <n v="4"/>
    <n v="0"/>
    <n v="2"/>
    <x v="1"/>
    <x v="1"/>
  </r>
  <r>
    <n v="34"/>
    <x v="1"/>
    <s v="Travel_Rarely"/>
    <n v="937"/>
    <x v="0"/>
    <n v="1"/>
    <n v="3"/>
    <s v="Marketing"/>
    <n v="1"/>
    <x v="1384"/>
    <n v="1"/>
    <s v="Male"/>
    <n v="32"/>
    <n v="3"/>
    <n v="3"/>
    <x v="0"/>
    <x v="0"/>
    <s v="Single"/>
    <n v="9888"/>
    <n v="6770"/>
    <n v="1"/>
    <s v="Y"/>
    <x v="1"/>
    <n v="21"/>
    <n v="4"/>
    <n v="1"/>
    <n v="80"/>
    <n v="0"/>
    <n v="14"/>
    <n v="3"/>
    <x v="2"/>
    <n v="14"/>
    <n v="8"/>
    <n v="2"/>
    <n v="1"/>
    <x v="1"/>
    <x v="2"/>
  </r>
  <r>
    <n v="34"/>
    <x v="1"/>
    <s v="Travel_Rarely"/>
    <n v="1239"/>
    <x v="0"/>
    <n v="13"/>
    <n v="4"/>
    <s v="Medical"/>
    <n v="1"/>
    <x v="1385"/>
    <n v="4"/>
    <s v="Male"/>
    <n v="39"/>
    <n v="3"/>
    <n v="3"/>
    <x v="0"/>
    <x v="2"/>
    <s v="Divorced"/>
    <n v="8628"/>
    <n v="22914"/>
    <n v="1"/>
    <s v="Y"/>
    <x v="1"/>
    <n v="18"/>
    <n v="3"/>
    <n v="3"/>
    <n v="80"/>
    <n v="1"/>
    <n v="9"/>
    <n v="2"/>
    <x v="2"/>
    <n v="8"/>
    <n v="7"/>
    <n v="1"/>
    <n v="1"/>
    <x v="1"/>
    <x v="2"/>
  </r>
  <r>
    <n v="26"/>
    <x v="1"/>
    <s v="Travel_Rarely"/>
    <n v="157"/>
    <x v="1"/>
    <n v="1"/>
    <n v="3"/>
    <s v="Medical"/>
    <n v="1"/>
    <x v="1386"/>
    <n v="3"/>
    <s v="Male"/>
    <n v="95"/>
    <n v="3"/>
    <n v="1"/>
    <x v="2"/>
    <x v="3"/>
    <s v="Single"/>
    <n v="2867"/>
    <n v="20006"/>
    <n v="0"/>
    <s v="Y"/>
    <x v="1"/>
    <n v="13"/>
    <n v="3"/>
    <n v="4"/>
    <n v="80"/>
    <n v="0"/>
    <n v="8"/>
    <n v="6"/>
    <x v="2"/>
    <n v="7"/>
    <n v="7"/>
    <n v="7"/>
    <n v="6"/>
    <x v="2"/>
    <x v="1"/>
  </r>
  <r>
    <n v="29"/>
    <x v="1"/>
    <s v="Travel_Rarely"/>
    <n v="136"/>
    <x v="1"/>
    <n v="1"/>
    <n v="3"/>
    <s v="Life Sciences"/>
    <n v="1"/>
    <x v="1387"/>
    <n v="1"/>
    <s v="Male"/>
    <n v="89"/>
    <n v="3"/>
    <n v="2"/>
    <x v="4"/>
    <x v="3"/>
    <s v="Married"/>
    <n v="5373"/>
    <n v="6225"/>
    <n v="0"/>
    <s v="Y"/>
    <x v="1"/>
    <n v="12"/>
    <n v="3"/>
    <n v="1"/>
    <n v="80"/>
    <n v="1"/>
    <n v="6"/>
    <n v="5"/>
    <x v="2"/>
    <n v="5"/>
    <n v="3"/>
    <n v="0"/>
    <n v="2"/>
    <x v="2"/>
    <x v="0"/>
  </r>
  <r>
    <n v="32"/>
    <x v="1"/>
    <s v="Non-Travel"/>
    <n v="1146"/>
    <x v="1"/>
    <n v="15"/>
    <n v="4"/>
    <s v="Medical"/>
    <n v="1"/>
    <x v="1388"/>
    <n v="3"/>
    <s v="Female"/>
    <n v="34"/>
    <n v="3"/>
    <n v="2"/>
    <x v="4"/>
    <x v="0"/>
    <s v="Divorced"/>
    <n v="6667"/>
    <n v="16542"/>
    <n v="5"/>
    <s v="Y"/>
    <x v="1"/>
    <n v="18"/>
    <n v="3"/>
    <n v="2"/>
    <n v="80"/>
    <n v="1"/>
    <n v="9"/>
    <n v="6"/>
    <x v="1"/>
    <n v="5"/>
    <n v="1"/>
    <n v="1"/>
    <n v="2"/>
    <x v="1"/>
    <x v="0"/>
  </r>
  <r>
    <n v="31"/>
    <x v="1"/>
    <s v="Travel_Frequently"/>
    <n v="1125"/>
    <x v="1"/>
    <n v="1"/>
    <n v="3"/>
    <s v="Life Sciences"/>
    <n v="1"/>
    <x v="1389"/>
    <n v="4"/>
    <s v="Male"/>
    <n v="48"/>
    <n v="1"/>
    <n v="2"/>
    <x v="1"/>
    <x v="3"/>
    <s v="Married"/>
    <n v="5003"/>
    <n v="5771"/>
    <n v="1"/>
    <s v="Y"/>
    <x v="1"/>
    <n v="21"/>
    <n v="4"/>
    <n v="2"/>
    <n v="80"/>
    <n v="0"/>
    <n v="10"/>
    <n v="6"/>
    <x v="1"/>
    <n v="10"/>
    <n v="8"/>
    <n v="8"/>
    <n v="7"/>
    <x v="1"/>
    <x v="0"/>
  </r>
  <r>
    <n v="28"/>
    <x v="0"/>
    <s v="Travel_Rarely"/>
    <n v="1404"/>
    <x v="1"/>
    <n v="17"/>
    <n v="3"/>
    <s v="Technical Degree"/>
    <n v="1"/>
    <x v="1390"/>
    <n v="3"/>
    <s v="Male"/>
    <n v="32"/>
    <n v="2"/>
    <n v="1"/>
    <x v="2"/>
    <x v="0"/>
    <s v="Divorced"/>
    <n v="2367"/>
    <n v="18779"/>
    <n v="5"/>
    <s v="Y"/>
    <x v="1"/>
    <n v="12"/>
    <n v="3"/>
    <n v="1"/>
    <n v="80"/>
    <n v="1"/>
    <n v="6"/>
    <n v="2"/>
    <x v="2"/>
    <n v="4"/>
    <n v="1"/>
    <n v="0"/>
    <n v="3"/>
    <x v="2"/>
    <x v="1"/>
  </r>
  <r>
    <n v="38"/>
    <x v="1"/>
    <s v="Travel_Rarely"/>
    <n v="1404"/>
    <x v="0"/>
    <n v="1"/>
    <n v="3"/>
    <s v="Life Sciences"/>
    <n v="1"/>
    <x v="1391"/>
    <n v="1"/>
    <s v="Male"/>
    <n v="59"/>
    <n v="2"/>
    <n v="1"/>
    <x v="6"/>
    <x v="3"/>
    <s v="Single"/>
    <n v="2858"/>
    <n v="11473"/>
    <n v="4"/>
    <s v="Y"/>
    <x v="1"/>
    <n v="14"/>
    <n v="3"/>
    <n v="1"/>
    <n v="80"/>
    <n v="0"/>
    <n v="20"/>
    <n v="3"/>
    <x v="2"/>
    <n v="1"/>
    <n v="0"/>
    <n v="0"/>
    <n v="0"/>
    <x v="1"/>
    <x v="1"/>
  </r>
  <r>
    <n v="35"/>
    <x v="1"/>
    <s v="Travel_Rarely"/>
    <n v="1224"/>
    <x v="0"/>
    <n v="7"/>
    <n v="4"/>
    <s v="Life Sciences"/>
    <n v="1"/>
    <x v="1392"/>
    <n v="3"/>
    <s v="Female"/>
    <n v="55"/>
    <n v="3"/>
    <n v="2"/>
    <x v="0"/>
    <x v="0"/>
    <s v="Married"/>
    <n v="5204"/>
    <n v="13586"/>
    <n v="1"/>
    <s v="Y"/>
    <x v="0"/>
    <n v="11"/>
    <n v="3"/>
    <n v="4"/>
    <n v="80"/>
    <n v="0"/>
    <n v="10"/>
    <n v="2"/>
    <x v="1"/>
    <n v="10"/>
    <n v="8"/>
    <n v="0"/>
    <n v="9"/>
    <x v="1"/>
    <x v="0"/>
  </r>
  <r>
    <n v="27"/>
    <x v="1"/>
    <s v="Travel_Rarely"/>
    <n v="954"/>
    <x v="0"/>
    <n v="9"/>
    <n v="3"/>
    <s v="Marketing"/>
    <n v="1"/>
    <x v="1393"/>
    <n v="4"/>
    <s v="Male"/>
    <n v="44"/>
    <n v="3"/>
    <n v="2"/>
    <x v="0"/>
    <x v="0"/>
    <s v="Single"/>
    <n v="4105"/>
    <n v="5099"/>
    <n v="1"/>
    <s v="Y"/>
    <x v="1"/>
    <n v="14"/>
    <n v="3"/>
    <n v="1"/>
    <n v="80"/>
    <n v="0"/>
    <n v="7"/>
    <n v="5"/>
    <x v="1"/>
    <n v="7"/>
    <n v="7"/>
    <n v="0"/>
    <n v="7"/>
    <x v="2"/>
    <x v="0"/>
  </r>
  <r>
    <n v="32"/>
    <x v="1"/>
    <s v="Travel_Rarely"/>
    <n v="1373"/>
    <x v="1"/>
    <n v="5"/>
    <n v="4"/>
    <s v="Life Sciences"/>
    <n v="1"/>
    <x v="1394"/>
    <n v="4"/>
    <s v="Male"/>
    <n v="56"/>
    <n v="2"/>
    <n v="2"/>
    <x v="3"/>
    <x v="0"/>
    <s v="Single"/>
    <n v="9679"/>
    <n v="10138"/>
    <n v="8"/>
    <s v="Y"/>
    <x v="1"/>
    <n v="24"/>
    <n v="4"/>
    <n v="2"/>
    <n v="80"/>
    <n v="0"/>
    <n v="8"/>
    <n v="1"/>
    <x v="1"/>
    <n v="1"/>
    <n v="0"/>
    <n v="0"/>
    <n v="0"/>
    <x v="1"/>
    <x v="2"/>
  </r>
  <r>
    <n v="31"/>
    <x v="0"/>
    <s v="Travel_Frequently"/>
    <n v="754"/>
    <x v="0"/>
    <n v="26"/>
    <n v="4"/>
    <s v="Marketing"/>
    <n v="1"/>
    <x v="1395"/>
    <n v="1"/>
    <s v="Male"/>
    <n v="63"/>
    <n v="3"/>
    <n v="2"/>
    <x v="0"/>
    <x v="0"/>
    <s v="Married"/>
    <n v="5617"/>
    <n v="21075"/>
    <n v="1"/>
    <s v="Y"/>
    <x v="0"/>
    <n v="11"/>
    <n v="3"/>
    <n v="3"/>
    <n v="80"/>
    <n v="0"/>
    <n v="10"/>
    <n v="4"/>
    <x v="1"/>
    <n v="10"/>
    <n v="7"/>
    <n v="0"/>
    <n v="8"/>
    <x v="1"/>
    <x v="0"/>
  </r>
  <r>
    <n v="53"/>
    <x v="0"/>
    <s v="Travel_Rarely"/>
    <n v="1168"/>
    <x v="0"/>
    <n v="24"/>
    <n v="4"/>
    <s v="Life Sciences"/>
    <n v="1"/>
    <x v="1396"/>
    <n v="1"/>
    <s v="Male"/>
    <n v="66"/>
    <n v="3"/>
    <n v="3"/>
    <x v="0"/>
    <x v="3"/>
    <s v="Single"/>
    <n v="10448"/>
    <n v="5843"/>
    <n v="6"/>
    <s v="Y"/>
    <x v="0"/>
    <n v="13"/>
    <n v="3"/>
    <n v="2"/>
    <n v="80"/>
    <n v="0"/>
    <n v="15"/>
    <n v="2"/>
    <x v="2"/>
    <n v="2"/>
    <n v="2"/>
    <n v="2"/>
    <n v="2"/>
    <x v="3"/>
    <x v="2"/>
  </r>
  <r>
    <n v="54"/>
    <x v="1"/>
    <s v="Travel_Rarely"/>
    <n v="155"/>
    <x v="1"/>
    <n v="9"/>
    <n v="2"/>
    <s v="Life Sciences"/>
    <n v="1"/>
    <x v="1397"/>
    <n v="1"/>
    <s v="Female"/>
    <n v="67"/>
    <n v="3"/>
    <n v="2"/>
    <x v="1"/>
    <x v="2"/>
    <s v="Married"/>
    <n v="2897"/>
    <n v="22474"/>
    <n v="3"/>
    <s v="Y"/>
    <x v="1"/>
    <n v="11"/>
    <n v="3"/>
    <n v="3"/>
    <n v="80"/>
    <n v="2"/>
    <n v="9"/>
    <n v="6"/>
    <x v="2"/>
    <n v="4"/>
    <n v="3"/>
    <n v="2"/>
    <n v="3"/>
    <x v="3"/>
    <x v="1"/>
  </r>
  <r>
    <n v="33"/>
    <x v="1"/>
    <s v="Travel_Frequently"/>
    <n v="1303"/>
    <x v="1"/>
    <n v="7"/>
    <n v="2"/>
    <s v="Life Sciences"/>
    <n v="1"/>
    <x v="1398"/>
    <n v="4"/>
    <s v="Male"/>
    <n v="36"/>
    <n v="3"/>
    <n v="2"/>
    <x v="4"/>
    <x v="2"/>
    <s v="Divorced"/>
    <n v="5968"/>
    <n v="18079"/>
    <n v="1"/>
    <s v="Y"/>
    <x v="1"/>
    <n v="20"/>
    <n v="4"/>
    <n v="3"/>
    <n v="80"/>
    <n v="3"/>
    <n v="9"/>
    <n v="2"/>
    <x v="1"/>
    <n v="9"/>
    <n v="7"/>
    <n v="2"/>
    <n v="8"/>
    <x v="1"/>
    <x v="0"/>
  </r>
  <r>
    <n v="43"/>
    <x v="1"/>
    <s v="Travel_Rarely"/>
    <n v="574"/>
    <x v="1"/>
    <n v="11"/>
    <n v="3"/>
    <s v="Life Sciences"/>
    <n v="1"/>
    <x v="1399"/>
    <n v="1"/>
    <s v="Male"/>
    <n v="30"/>
    <n v="3"/>
    <n v="3"/>
    <x v="4"/>
    <x v="2"/>
    <s v="Married"/>
    <n v="7510"/>
    <n v="16873"/>
    <n v="1"/>
    <s v="Y"/>
    <x v="1"/>
    <n v="17"/>
    <n v="3"/>
    <n v="2"/>
    <n v="80"/>
    <n v="1"/>
    <n v="10"/>
    <n v="1"/>
    <x v="1"/>
    <n v="10"/>
    <n v="9"/>
    <n v="0"/>
    <n v="9"/>
    <x v="0"/>
    <x v="2"/>
  </r>
  <r>
    <n v="38"/>
    <x v="1"/>
    <s v="Travel_Frequently"/>
    <n v="1444"/>
    <x v="2"/>
    <n v="1"/>
    <n v="4"/>
    <s v="Other"/>
    <n v="1"/>
    <x v="1400"/>
    <n v="4"/>
    <s v="Male"/>
    <n v="88"/>
    <n v="3"/>
    <n v="1"/>
    <x v="8"/>
    <x v="1"/>
    <s v="Married"/>
    <n v="2991"/>
    <n v="5224"/>
    <n v="0"/>
    <s v="Y"/>
    <x v="0"/>
    <n v="11"/>
    <n v="3"/>
    <n v="2"/>
    <n v="80"/>
    <n v="1"/>
    <n v="7"/>
    <n v="2"/>
    <x v="1"/>
    <n v="6"/>
    <n v="2"/>
    <n v="1"/>
    <n v="2"/>
    <x v="1"/>
    <x v="1"/>
  </r>
  <r>
    <n v="55"/>
    <x v="1"/>
    <s v="Travel_Rarely"/>
    <n v="189"/>
    <x v="2"/>
    <n v="26"/>
    <n v="4"/>
    <s v="Human Resources"/>
    <n v="1"/>
    <x v="1401"/>
    <n v="3"/>
    <s v="Male"/>
    <n v="71"/>
    <n v="4"/>
    <n v="5"/>
    <x v="5"/>
    <x v="1"/>
    <s v="Married"/>
    <n v="19636"/>
    <n v="25811"/>
    <n v="4"/>
    <s v="Y"/>
    <x v="0"/>
    <n v="18"/>
    <n v="3"/>
    <n v="1"/>
    <n v="80"/>
    <n v="1"/>
    <n v="35"/>
    <n v="0"/>
    <x v="1"/>
    <n v="10"/>
    <n v="9"/>
    <n v="1"/>
    <n v="4"/>
    <x v="3"/>
    <x v="2"/>
  </r>
  <r>
    <n v="31"/>
    <x v="1"/>
    <s v="Travel_Rarely"/>
    <n v="1276"/>
    <x v="1"/>
    <n v="2"/>
    <n v="1"/>
    <s v="Medical"/>
    <n v="1"/>
    <x v="1402"/>
    <n v="4"/>
    <s v="Female"/>
    <n v="59"/>
    <n v="1"/>
    <n v="1"/>
    <x v="2"/>
    <x v="0"/>
    <s v="Divorced"/>
    <n v="1129"/>
    <n v="17536"/>
    <n v="1"/>
    <s v="Y"/>
    <x v="0"/>
    <n v="11"/>
    <n v="3"/>
    <n v="3"/>
    <n v="80"/>
    <n v="3"/>
    <n v="1"/>
    <n v="4"/>
    <x v="1"/>
    <n v="1"/>
    <n v="0"/>
    <n v="0"/>
    <n v="0"/>
    <x v="1"/>
    <x v="1"/>
  </r>
  <r>
    <n v="39"/>
    <x v="1"/>
    <s v="Travel_Rarely"/>
    <n v="119"/>
    <x v="0"/>
    <n v="15"/>
    <n v="4"/>
    <s v="Marketing"/>
    <n v="1"/>
    <x v="1403"/>
    <n v="2"/>
    <s v="Male"/>
    <n v="77"/>
    <n v="3"/>
    <n v="4"/>
    <x v="0"/>
    <x v="3"/>
    <s v="Single"/>
    <n v="13341"/>
    <n v="25098"/>
    <n v="0"/>
    <s v="Y"/>
    <x v="1"/>
    <n v="12"/>
    <n v="3"/>
    <n v="1"/>
    <n v="80"/>
    <n v="0"/>
    <n v="21"/>
    <n v="3"/>
    <x v="1"/>
    <n v="20"/>
    <n v="8"/>
    <n v="11"/>
    <n v="10"/>
    <x v="1"/>
    <x v="2"/>
  </r>
  <r>
    <n v="42"/>
    <x v="1"/>
    <s v="Non-Travel"/>
    <n v="335"/>
    <x v="1"/>
    <n v="23"/>
    <n v="2"/>
    <s v="Life Sciences"/>
    <n v="1"/>
    <x v="1404"/>
    <n v="4"/>
    <s v="Male"/>
    <n v="37"/>
    <n v="2"/>
    <n v="2"/>
    <x v="1"/>
    <x v="2"/>
    <s v="Single"/>
    <n v="4332"/>
    <n v="14811"/>
    <n v="1"/>
    <s v="Y"/>
    <x v="1"/>
    <n v="12"/>
    <n v="3"/>
    <n v="4"/>
    <n v="80"/>
    <n v="0"/>
    <n v="20"/>
    <n v="2"/>
    <x v="1"/>
    <n v="20"/>
    <n v="9"/>
    <n v="3"/>
    <n v="7"/>
    <x v="0"/>
    <x v="0"/>
  </r>
  <r>
    <n v="31"/>
    <x v="1"/>
    <s v="Non-Travel"/>
    <n v="697"/>
    <x v="1"/>
    <n v="10"/>
    <n v="3"/>
    <s v="Medical"/>
    <n v="1"/>
    <x v="1405"/>
    <n v="3"/>
    <s v="Female"/>
    <n v="40"/>
    <n v="3"/>
    <n v="3"/>
    <x v="7"/>
    <x v="2"/>
    <s v="Married"/>
    <n v="11031"/>
    <n v="26862"/>
    <n v="4"/>
    <s v="Y"/>
    <x v="1"/>
    <n v="20"/>
    <n v="4"/>
    <n v="3"/>
    <n v="80"/>
    <n v="1"/>
    <n v="13"/>
    <n v="2"/>
    <x v="3"/>
    <n v="11"/>
    <n v="7"/>
    <n v="4"/>
    <n v="8"/>
    <x v="1"/>
    <x v="2"/>
  </r>
  <r>
    <n v="54"/>
    <x v="1"/>
    <s v="Travel_Rarely"/>
    <n v="157"/>
    <x v="1"/>
    <n v="10"/>
    <n v="3"/>
    <s v="Medical"/>
    <n v="1"/>
    <x v="1406"/>
    <n v="3"/>
    <s v="Female"/>
    <n v="77"/>
    <n v="3"/>
    <n v="2"/>
    <x v="3"/>
    <x v="3"/>
    <s v="Single"/>
    <n v="4440"/>
    <n v="25198"/>
    <n v="6"/>
    <s v="Y"/>
    <x v="0"/>
    <n v="19"/>
    <n v="3"/>
    <n v="4"/>
    <n v="80"/>
    <n v="0"/>
    <n v="9"/>
    <n v="3"/>
    <x v="1"/>
    <n v="5"/>
    <n v="2"/>
    <n v="1"/>
    <n v="4"/>
    <x v="3"/>
    <x v="0"/>
  </r>
  <r>
    <n v="24"/>
    <x v="1"/>
    <s v="Travel_Rarely"/>
    <n v="771"/>
    <x v="1"/>
    <n v="1"/>
    <n v="2"/>
    <s v="Life Sciences"/>
    <n v="1"/>
    <x v="1407"/>
    <n v="2"/>
    <s v="Male"/>
    <n v="45"/>
    <n v="2"/>
    <n v="2"/>
    <x v="4"/>
    <x v="2"/>
    <s v="Single"/>
    <n v="4617"/>
    <n v="14120"/>
    <n v="1"/>
    <s v="Y"/>
    <x v="1"/>
    <n v="12"/>
    <n v="3"/>
    <n v="2"/>
    <n v="80"/>
    <n v="0"/>
    <n v="4"/>
    <n v="2"/>
    <x v="2"/>
    <n v="4"/>
    <n v="3"/>
    <n v="1"/>
    <n v="2"/>
    <x v="2"/>
    <x v="0"/>
  </r>
  <r>
    <n v="23"/>
    <x v="1"/>
    <s v="Travel_Rarely"/>
    <n v="571"/>
    <x v="1"/>
    <n v="12"/>
    <n v="2"/>
    <s v="Other"/>
    <n v="1"/>
    <x v="1408"/>
    <n v="4"/>
    <s v="Male"/>
    <n v="78"/>
    <n v="3"/>
    <n v="1"/>
    <x v="2"/>
    <x v="0"/>
    <s v="Single"/>
    <n v="2647"/>
    <n v="13672"/>
    <n v="1"/>
    <s v="Y"/>
    <x v="1"/>
    <n v="13"/>
    <n v="3"/>
    <n v="3"/>
    <n v="80"/>
    <n v="0"/>
    <n v="5"/>
    <n v="6"/>
    <x v="3"/>
    <n v="5"/>
    <n v="2"/>
    <n v="1"/>
    <n v="4"/>
    <x v="2"/>
    <x v="1"/>
  </r>
  <r>
    <n v="40"/>
    <x v="1"/>
    <s v="Travel_Frequently"/>
    <n v="692"/>
    <x v="1"/>
    <n v="11"/>
    <n v="3"/>
    <s v="Technical Degree"/>
    <n v="1"/>
    <x v="1409"/>
    <n v="4"/>
    <s v="Female"/>
    <n v="73"/>
    <n v="3"/>
    <n v="2"/>
    <x v="2"/>
    <x v="2"/>
    <s v="Married"/>
    <n v="6323"/>
    <n v="26849"/>
    <n v="1"/>
    <s v="Y"/>
    <x v="1"/>
    <n v="11"/>
    <n v="3"/>
    <n v="1"/>
    <n v="80"/>
    <n v="1"/>
    <n v="10"/>
    <n v="2"/>
    <x v="3"/>
    <n v="10"/>
    <n v="9"/>
    <n v="9"/>
    <n v="4"/>
    <x v="1"/>
    <x v="0"/>
  </r>
  <r>
    <n v="40"/>
    <x v="1"/>
    <s v="Travel_Rarely"/>
    <n v="444"/>
    <x v="0"/>
    <n v="2"/>
    <n v="2"/>
    <s v="Marketing"/>
    <n v="1"/>
    <x v="1410"/>
    <n v="2"/>
    <s v="Female"/>
    <n v="92"/>
    <n v="3"/>
    <n v="2"/>
    <x v="0"/>
    <x v="1"/>
    <s v="Married"/>
    <n v="5677"/>
    <n v="4258"/>
    <n v="3"/>
    <s v="Y"/>
    <x v="1"/>
    <n v="14"/>
    <n v="3"/>
    <n v="3"/>
    <n v="80"/>
    <n v="1"/>
    <n v="15"/>
    <n v="4"/>
    <x v="1"/>
    <n v="11"/>
    <n v="8"/>
    <n v="5"/>
    <n v="10"/>
    <x v="1"/>
    <x v="0"/>
  </r>
  <r>
    <n v="25"/>
    <x v="1"/>
    <s v="Travel_Rarely"/>
    <n v="309"/>
    <x v="2"/>
    <n v="2"/>
    <n v="3"/>
    <s v="Human Resources"/>
    <n v="1"/>
    <x v="1411"/>
    <n v="3"/>
    <s v="Female"/>
    <n v="82"/>
    <n v="3"/>
    <n v="1"/>
    <x v="8"/>
    <x v="1"/>
    <s v="Married"/>
    <n v="2187"/>
    <n v="19655"/>
    <n v="4"/>
    <s v="Y"/>
    <x v="1"/>
    <n v="14"/>
    <n v="3"/>
    <n v="3"/>
    <n v="80"/>
    <n v="0"/>
    <n v="6"/>
    <n v="3"/>
    <x v="1"/>
    <n v="2"/>
    <n v="0"/>
    <n v="1"/>
    <n v="2"/>
    <x v="2"/>
    <x v="1"/>
  </r>
  <r>
    <n v="30"/>
    <x v="1"/>
    <s v="Travel_Rarely"/>
    <n v="911"/>
    <x v="1"/>
    <n v="1"/>
    <n v="2"/>
    <s v="Medical"/>
    <n v="1"/>
    <x v="1412"/>
    <n v="4"/>
    <s v="Male"/>
    <n v="76"/>
    <n v="3"/>
    <n v="1"/>
    <x v="2"/>
    <x v="1"/>
    <s v="Married"/>
    <n v="3748"/>
    <n v="4077"/>
    <n v="1"/>
    <s v="Y"/>
    <x v="1"/>
    <n v="13"/>
    <n v="3"/>
    <n v="3"/>
    <n v="80"/>
    <n v="0"/>
    <n v="12"/>
    <n v="6"/>
    <x v="2"/>
    <n v="12"/>
    <n v="8"/>
    <n v="1"/>
    <n v="7"/>
    <x v="1"/>
    <x v="1"/>
  </r>
  <r>
    <n v="25"/>
    <x v="1"/>
    <s v="Travel_Rarely"/>
    <n v="977"/>
    <x v="1"/>
    <n v="2"/>
    <n v="1"/>
    <s v="Other"/>
    <n v="1"/>
    <x v="1413"/>
    <n v="4"/>
    <s v="Male"/>
    <n v="57"/>
    <n v="3"/>
    <n v="1"/>
    <x v="2"/>
    <x v="2"/>
    <s v="Divorced"/>
    <n v="3977"/>
    <n v="7298"/>
    <n v="6"/>
    <s v="Y"/>
    <x v="0"/>
    <n v="19"/>
    <n v="3"/>
    <n v="3"/>
    <n v="80"/>
    <n v="1"/>
    <n v="7"/>
    <n v="2"/>
    <x v="2"/>
    <n v="2"/>
    <n v="2"/>
    <n v="0"/>
    <n v="2"/>
    <x v="2"/>
    <x v="1"/>
  </r>
  <r>
    <n v="47"/>
    <x v="1"/>
    <s v="Travel_Rarely"/>
    <n v="1180"/>
    <x v="1"/>
    <n v="25"/>
    <n v="3"/>
    <s v="Medical"/>
    <n v="1"/>
    <x v="1414"/>
    <n v="1"/>
    <s v="Male"/>
    <n v="84"/>
    <n v="3"/>
    <n v="3"/>
    <x v="4"/>
    <x v="2"/>
    <s v="Single"/>
    <n v="8633"/>
    <n v="13084"/>
    <n v="2"/>
    <s v="Y"/>
    <x v="1"/>
    <n v="23"/>
    <n v="4"/>
    <n v="2"/>
    <n v="80"/>
    <n v="0"/>
    <n v="25"/>
    <n v="3"/>
    <x v="1"/>
    <n v="17"/>
    <n v="14"/>
    <n v="12"/>
    <n v="11"/>
    <x v="0"/>
    <x v="2"/>
  </r>
  <r>
    <n v="33"/>
    <x v="1"/>
    <s v="Non-Travel"/>
    <n v="1313"/>
    <x v="1"/>
    <n v="1"/>
    <n v="2"/>
    <s v="Medical"/>
    <n v="1"/>
    <x v="1415"/>
    <n v="2"/>
    <s v="Male"/>
    <n v="59"/>
    <n v="2"/>
    <n v="1"/>
    <x v="2"/>
    <x v="2"/>
    <s v="Divorced"/>
    <n v="2008"/>
    <n v="20439"/>
    <n v="1"/>
    <s v="Y"/>
    <x v="1"/>
    <n v="12"/>
    <n v="3"/>
    <n v="3"/>
    <n v="80"/>
    <n v="3"/>
    <n v="1"/>
    <n v="2"/>
    <x v="2"/>
    <n v="1"/>
    <n v="1"/>
    <n v="0"/>
    <n v="0"/>
    <x v="1"/>
    <x v="1"/>
  </r>
  <r>
    <n v="38"/>
    <x v="1"/>
    <s v="Travel_Rarely"/>
    <n v="1321"/>
    <x v="0"/>
    <n v="1"/>
    <n v="4"/>
    <s v="Life Sciences"/>
    <n v="1"/>
    <x v="1416"/>
    <n v="4"/>
    <s v="Male"/>
    <n v="86"/>
    <n v="3"/>
    <n v="2"/>
    <x v="0"/>
    <x v="1"/>
    <s v="Married"/>
    <n v="4440"/>
    <n v="7636"/>
    <n v="0"/>
    <s v="Y"/>
    <x v="1"/>
    <n v="15"/>
    <n v="3"/>
    <n v="1"/>
    <n v="80"/>
    <n v="2"/>
    <n v="16"/>
    <n v="3"/>
    <x v="1"/>
    <n v="15"/>
    <n v="13"/>
    <n v="5"/>
    <n v="8"/>
    <x v="1"/>
    <x v="0"/>
  </r>
  <r>
    <n v="31"/>
    <x v="1"/>
    <s v="Travel_Rarely"/>
    <n v="1154"/>
    <x v="0"/>
    <n v="2"/>
    <n v="2"/>
    <s v="Life Sciences"/>
    <n v="1"/>
    <x v="1417"/>
    <n v="1"/>
    <s v="Male"/>
    <n v="54"/>
    <n v="3"/>
    <n v="1"/>
    <x v="6"/>
    <x v="2"/>
    <s v="Married"/>
    <n v="3067"/>
    <n v="6393"/>
    <n v="0"/>
    <s v="Y"/>
    <x v="1"/>
    <n v="19"/>
    <n v="3"/>
    <n v="3"/>
    <n v="80"/>
    <n v="1"/>
    <n v="3"/>
    <n v="1"/>
    <x v="1"/>
    <n v="2"/>
    <n v="2"/>
    <n v="1"/>
    <n v="2"/>
    <x v="1"/>
    <x v="1"/>
  </r>
  <r>
    <n v="38"/>
    <x v="1"/>
    <s v="Travel_Frequently"/>
    <n v="508"/>
    <x v="1"/>
    <n v="6"/>
    <n v="4"/>
    <s v="Life Sciences"/>
    <n v="1"/>
    <x v="1418"/>
    <n v="1"/>
    <s v="Male"/>
    <n v="72"/>
    <n v="2"/>
    <n v="2"/>
    <x v="3"/>
    <x v="2"/>
    <s v="Married"/>
    <n v="5321"/>
    <n v="14284"/>
    <n v="2"/>
    <s v="Y"/>
    <x v="1"/>
    <n v="11"/>
    <n v="3"/>
    <n v="4"/>
    <n v="80"/>
    <n v="1"/>
    <n v="10"/>
    <n v="1"/>
    <x v="1"/>
    <n v="8"/>
    <n v="3"/>
    <n v="7"/>
    <n v="7"/>
    <x v="1"/>
    <x v="0"/>
  </r>
  <r>
    <n v="42"/>
    <x v="1"/>
    <s v="Travel_Rarely"/>
    <n v="557"/>
    <x v="1"/>
    <n v="18"/>
    <n v="4"/>
    <s v="Life Sciences"/>
    <n v="1"/>
    <x v="1419"/>
    <n v="4"/>
    <s v="Male"/>
    <n v="35"/>
    <n v="3"/>
    <n v="2"/>
    <x v="1"/>
    <x v="3"/>
    <s v="Divorced"/>
    <n v="5410"/>
    <n v="11189"/>
    <n v="6"/>
    <s v="Y"/>
    <x v="0"/>
    <n v="17"/>
    <n v="3"/>
    <n v="3"/>
    <n v="80"/>
    <n v="1"/>
    <n v="9"/>
    <n v="3"/>
    <x v="2"/>
    <n v="4"/>
    <n v="3"/>
    <n v="1"/>
    <n v="2"/>
    <x v="0"/>
    <x v="0"/>
  </r>
  <r>
    <n v="41"/>
    <x v="1"/>
    <s v="Travel_Rarely"/>
    <n v="642"/>
    <x v="1"/>
    <n v="1"/>
    <n v="3"/>
    <s v="Life Sciences"/>
    <n v="1"/>
    <x v="1420"/>
    <n v="4"/>
    <s v="Male"/>
    <n v="76"/>
    <n v="3"/>
    <n v="1"/>
    <x v="1"/>
    <x v="0"/>
    <s v="Married"/>
    <n v="2782"/>
    <n v="21412"/>
    <n v="3"/>
    <s v="Y"/>
    <x v="1"/>
    <n v="22"/>
    <n v="4"/>
    <n v="1"/>
    <n v="80"/>
    <n v="1"/>
    <n v="12"/>
    <n v="3"/>
    <x v="1"/>
    <n v="5"/>
    <n v="3"/>
    <n v="1"/>
    <n v="0"/>
    <x v="0"/>
    <x v="1"/>
  </r>
  <r>
    <n v="47"/>
    <x v="1"/>
    <s v="Non-Travel"/>
    <n v="1162"/>
    <x v="1"/>
    <n v="1"/>
    <n v="1"/>
    <s v="Medical"/>
    <n v="1"/>
    <x v="1421"/>
    <n v="3"/>
    <s v="Female"/>
    <n v="98"/>
    <n v="3"/>
    <n v="3"/>
    <x v="7"/>
    <x v="1"/>
    <s v="Married"/>
    <n v="11957"/>
    <n v="17231"/>
    <n v="0"/>
    <s v="Y"/>
    <x v="1"/>
    <n v="18"/>
    <n v="3"/>
    <n v="1"/>
    <n v="80"/>
    <n v="2"/>
    <n v="14"/>
    <n v="3"/>
    <x v="0"/>
    <n v="13"/>
    <n v="8"/>
    <n v="5"/>
    <n v="12"/>
    <x v="0"/>
    <x v="2"/>
  </r>
  <r>
    <n v="35"/>
    <x v="1"/>
    <s v="Travel_Rarely"/>
    <n v="1490"/>
    <x v="1"/>
    <n v="11"/>
    <n v="4"/>
    <s v="Medical"/>
    <n v="1"/>
    <x v="1422"/>
    <n v="4"/>
    <s v="Male"/>
    <n v="43"/>
    <n v="3"/>
    <n v="1"/>
    <x v="2"/>
    <x v="2"/>
    <s v="Married"/>
    <n v="2660"/>
    <n v="20232"/>
    <n v="7"/>
    <s v="Y"/>
    <x v="0"/>
    <n v="11"/>
    <n v="3"/>
    <n v="3"/>
    <n v="80"/>
    <n v="1"/>
    <n v="5"/>
    <n v="3"/>
    <x v="1"/>
    <n v="2"/>
    <n v="2"/>
    <n v="2"/>
    <n v="2"/>
    <x v="1"/>
    <x v="1"/>
  </r>
  <r>
    <n v="22"/>
    <x v="1"/>
    <s v="Travel_Rarely"/>
    <n v="581"/>
    <x v="1"/>
    <n v="1"/>
    <n v="2"/>
    <s v="Life Sciences"/>
    <n v="1"/>
    <x v="1423"/>
    <n v="4"/>
    <s v="Male"/>
    <n v="63"/>
    <n v="3"/>
    <n v="1"/>
    <x v="1"/>
    <x v="2"/>
    <s v="Single"/>
    <n v="3375"/>
    <n v="17624"/>
    <n v="0"/>
    <s v="Y"/>
    <x v="1"/>
    <n v="12"/>
    <n v="3"/>
    <n v="4"/>
    <n v="80"/>
    <n v="0"/>
    <n v="4"/>
    <n v="2"/>
    <x v="3"/>
    <n v="3"/>
    <n v="2"/>
    <n v="1"/>
    <n v="2"/>
    <x v="2"/>
    <x v="1"/>
  </r>
  <r>
    <n v="35"/>
    <x v="1"/>
    <s v="Travel_Rarely"/>
    <n v="1395"/>
    <x v="1"/>
    <n v="9"/>
    <n v="4"/>
    <s v="Medical"/>
    <n v="1"/>
    <x v="1424"/>
    <n v="2"/>
    <s v="Male"/>
    <n v="48"/>
    <n v="3"/>
    <n v="2"/>
    <x v="1"/>
    <x v="2"/>
    <s v="Single"/>
    <n v="5098"/>
    <n v="18698"/>
    <n v="1"/>
    <s v="Y"/>
    <x v="1"/>
    <n v="19"/>
    <n v="3"/>
    <n v="2"/>
    <n v="80"/>
    <n v="0"/>
    <n v="10"/>
    <n v="5"/>
    <x v="1"/>
    <n v="10"/>
    <n v="7"/>
    <n v="0"/>
    <n v="8"/>
    <x v="1"/>
    <x v="0"/>
  </r>
  <r>
    <n v="33"/>
    <x v="1"/>
    <s v="Travel_Rarely"/>
    <n v="501"/>
    <x v="1"/>
    <n v="15"/>
    <n v="2"/>
    <s v="Medical"/>
    <n v="1"/>
    <x v="1425"/>
    <n v="2"/>
    <s v="Female"/>
    <n v="95"/>
    <n v="3"/>
    <n v="2"/>
    <x v="4"/>
    <x v="0"/>
    <s v="Married"/>
    <n v="4878"/>
    <n v="21653"/>
    <n v="0"/>
    <s v="Y"/>
    <x v="0"/>
    <n v="13"/>
    <n v="3"/>
    <n v="1"/>
    <n v="80"/>
    <n v="1"/>
    <n v="10"/>
    <n v="6"/>
    <x v="1"/>
    <n v="9"/>
    <n v="7"/>
    <n v="8"/>
    <n v="1"/>
    <x v="1"/>
    <x v="0"/>
  </r>
  <r>
    <n v="32"/>
    <x v="1"/>
    <s v="Travel_Rarely"/>
    <n v="267"/>
    <x v="1"/>
    <n v="29"/>
    <n v="4"/>
    <s v="Life Sciences"/>
    <n v="1"/>
    <x v="1426"/>
    <n v="3"/>
    <s v="Female"/>
    <n v="49"/>
    <n v="2"/>
    <n v="1"/>
    <x v="2"/>
    <x v="1"/>
    <s v="Single"/>
    <n v="2837"/>
    <n v="15919"/>
    <n v="1"/>
    <s v="Y"/>
    <x v="1"/>
    <n v="13"/>
    <n v="3"/>
    <n v="3"/>
    <n v="80"/>
    <n v="0"/>
    <n v="6"/>
    <n v="3"/>
    <x v="1"/>
    <n v="6"/>
    <n v="2"/>
    <n v="4"/>
    <n v="1"/>
    <x v="1"/>
    <x v="1"/>
  </r>
  <r>
    <n v="40"/>
    <x v="1"/>
    <s v="Travel_Rarely"/>
    <n v="543"/>
    <x v="1"/>
    <n v="1"/>
    <n v="4"/>
    <s v="Life Sciences"/>
    <n v="1"/>
    <x v="1427"/>
    <n v="1"/>
    <s v="Male"/>
    <n v="83"/>
    <n v="3"/>
    <n v="1"/>
    <x v="2"/>
    <x v="0"/>
    <s v="Married"/>
    <n v="2406"/>
    <n v="4060"/>
    <n v="8"/>
    <s v="Y"/>
    <x v="1"/>
    <n v="19"/>
    <n v="3"/>
    <n v="3"/>
    <n v="80"/>
    <n v="2"/>
    <n v="8"/>
    <n v="3"/>
    <x v="2"/>
    <n v="1"/>
    <n v="0"/>
    <n v="0"/>
    <n v="0"/>
    <x v="1"/>
    <x v="1"/>
  </r>
  <r>
    <n v="32"/>
    <x v="1"/>
    <s v="Travel_Rarely"/>
    <n v="234"/>
    <x v="0"/>
    <n v="1"/>
    <n v="4"/>
    <s v="Medical"/>
    <n v="1"/>
    <x v="1428"/>
    <n v="2"/>
    <s v="Male"/>
    <n v="68"/>
    <n v="2"/>
    <n v="1"/>
    <x v="6"/>
    <x v="1"/>
    <s v="Married"/>
    <n v="2269"/>
    <n v="18024"/>
    <n v="0"/>
    <s v="Y"/>
    <x v="1"/>
    <n v="14"/>
    <n v="3"/>
    <n v="2"/>
    <n v="80"/>
    <n v="1"/>
    <n v="3"/>
    <n v="2"/>
    <x v="1"/>
    <n v="2"/>
    <n v="2"/>
    <n v="2"/>
    <n v="2"/>
    <x v="1"/>
    <x v="1"/>
  </r>
  <r>
    <n v="39"/>
    <x v="1"/>
    <s v="Travel_Rarely"/>
    <n v="116"/>
    <x v="1"/>
    <n v="24"/>
    <n v="1"/>
    <s v="Life Sciences"/>
    <n v="1"/>
    <x v="1429"/>
    <n v="1"/>
    <s v="Male"/>
    <n v="52"/>
    <n v="3"/>
    <n v="2"/>
    <x v="1"/>
    <x v="0"/>
    <s v="Single"/>
    <n v="4108"/>
    <n v="5340"/>
    <n v="7"/>
    <s v="Y"/>
    <x v="1"/>
    <n v="13"/>
    <n v="3"/>
    <n v="1"/>
    <n v="80"/>
    <n v="0"/>
    <n v="18"/>
    <n v="2"/>
    <x v="1"/>
    <n v="7"/>
    <n v="7"/>
    <n v="1"/>
    <n v="7"/>
    <x v="1"/>
    <x v="0"/>
  </r>
  <r>
    <n v="38"/>
    <x v="1"/>
    <s v="Travel_Rarely"/>
    <n v="201"/>
    <x v="1"/>
    <n v="10"/>
    <n v="3"/>
    <s v="Medical"/>
    <n v="1"/>
    <x v="1430"/>
    <n v="2"/>
    <s v="Female"/>
    <n v="99"/>
    <n v="1"/>
    <n v="3"/>
    <x v="7"/>
    <x v="2"/>
    <s v="Married"/>
    <n v="13206"/>
    <n v="3376"/>
    <n v="3"/>
    <s v="Y"/>
    <x v="1"/>
    <n v="12"/>
    <n v="3"/>
    <n v="1"/>
    <n v="80"/>
    <n v="1"/>
    <n v="20"/>
    <n v="3"/>
    <x v="1"/>
    <n v="18"/>
    <n v="16"/>
    <n v="1"/>
    <n v="11"/>
    <x v="1"/>
    <x v="2"/>
  </r>
  <r>
    <n v="32"/>
    <x v="1"/>
    <s v="Travel_Rarely"/>
    <n v="801"/>
    <x v="0"/>
    <n v="1"/>
    <n v="4"/>
    <s v="Marketing"/>
    <n v="1"/>
    <x v="1431"/>
    <n v="3"/>
    <s v="Female"/>
    <n v="48"/>
    <n v="3"/>
    <n v="3"/>
    <x v="0"/>
    <x v="0"/>
    <s v="Married"/>
    <n v="10422"/>
    <n v="24032"/>
    <n v="1"/>
    <s v="Y"/>
    <x v="1"/>
    <n v="19"/>
    <n v="3"/>
    <n v="3"/>
    <n v="80"/>
    <n v="2"/>
    <n v="14"/>
    <n v="3"/>
    <x v="1"/>
    <n v="14"/>
    <n v="10"/>
    <n v="5"/>
    <n v="7"/>
    <x v="1"/>
    <x v="2"/>
  </r>
  <r>
    <n v="37"/>
    <x v="1"/>
    <s v="Travel_Rarely"/>
    <n v="161"/>
    <x v="1"/>
    <n v="10"/>
    <n v="3"/>
    <s v="Life Sciences"/>
    <n v="1"/>
    <x v="1432"/>
    <n v="3"/>
    <s v="Female"/>
    <n v="42"/>
    <n v="4"/>
    <n v="3"/>
    <x v="7"/>
    <x v="0"/>
    <s v="Married"/>
    <n v="13744"/>
    <n v="15471"/>
    <n v="1"/>
    <s v="Y"/>
    <x v="0"/>
    <n v="25"/>
    <n v="4"/>
    <n v="1"/>
    <n v="80"/>
    <n v="1"/>
    <n v="16"/>
    <n v="2"/>
    <x v="1"/>
    <n v="16"/>
    <n v="11"/>
    <n v="6"/>
    <n v="8"/>
    <x v="1"/>
    <x v="2"/>
  </r>
  <r>
    <n v="25"/>
    <x v="1"/>
    <s v="Travel_Rarely"/>
    <n v="1382"/>
    <x v="0"/>
    <n v="8"/>
    <n v="2"/>
    <s v="Other"/>
    <n v="1"/>
    <x v="1433"/>
    <n v="1"/>
    <s v="Female"/>
    <n v="85"/>
    <n v="3"/>
    <n v="2"/>
    <x v="0"/>
    <x v="2"/>
    <s v="Divorced"/>
    <n v="4907"/>
    <n v="13684"/>
    <n v="0"/>
    <s v="Y"/>
    <x v="0"/>
    <n v="22"/>
    <n v="4"/>
    <n v="2"/>
    <n v="80"/>
    <n v="1"/>
    <n v="6"/>
    <n v="3"/>
    <x v="2"/>
    <n v="5"/>
    <n v="3"/>
    <n v="0"/>
    <n v="4"/>
    <x v="2"/>
    <x v="0"/>
  </r>
  <r>
    <n v="52"/>
    <x v="1"/>
    <s v="Non-Travel"/>
    <n v="585"/>
    <x v="0"/>
    <n v="29"/>
    <n v="4"/>
    <s v="Life Sciences"/>
    <n v="1"/>
    <x v="1434"/>
    <n v="1"/>
    <s v="Male"/>
    <n v="40"/>
    <n v="3"/>
    <n v="1"/>
    <x v="6"/>
    <x v="0"/>
    <s v="Divorced"/>
    <n v="3482"/>
    <n v="19788"/>
    <n v="2"/>
    <s v="Y"/>
    <x v="1"/>
    <n v="15"/>
    <n v="3"/>
    <n v="2"/>
    <n v="80"/>
    <n v="2"/>
    <n v="16"/>
    <n v="3"/>
    <x v="2"/>
    <n v="9"/>
    <n v="8"/>
    <n v="0"/>
    <n v="0"/>
    <x v="3"/>
    <x v="1"/>
  </r>
  <r>
    <n v="44"/>
    <x v="1"/>
    <s v="Travel_Rarely"/>
    <n v="1037"/>
    <x v="1"/>
    <n v="1"/>
    <n v="3"/>
    <s v="Medical"/>
    <n v="1"/>
    <x v="1435"/>
    <n v="2"/>
    <s v="Male"/>
    <n v="42"/>
    <n v="3"/>
    <n v="1"/>
    <x v="1"/>
    <x v="0"/>
    <s v="Single"/>
    <n v="2436"/>
    <n v="13422"/>
    <n v="6"/>
    <s v="Y"/>
    <x v="0"/>
    <n v="12"/>
    <n v="3"/>
    <n v="3"/>
    <n v="80"/>
    <n v="0"/>
    <n v="6"/>
    <n v="2"/>
    <x v="1"/>
    <n v="4"/>
    <n v="3"/>
    <n v="1"/>
    <n v="2"/>
    <x v="0"/>
    <x v="1"/>
  </r>
  <r>
    <n v="21"/>
    <x v="1"/>
    <s v="Travel_Rarely"/>
    <n v="501"/>
    <x v="0"/>
    <n v="5"/>
    <n v="1"/>
    <s v="Medical"/>
    <n v="1"/>
    <x v="1436"/>
    <n v="3"/>
    <s v="Male"/>
    <n v="58"/>
    <n v="3"/>
    <n v="1"/>
    <x v="6"/>
    <x v="3"/>
    <s v="Single"/>
    <n v="2380"/>
    <n v="25479"/>
    <n v="1"/>
    <s v="Y"/>
    <x v="0"/>
    <n v="11"/>
    <n v="3"/>
    <n v="4"/>
    <n v="80"/>
    <n v="0"/>
    <n v="2"/>
    <n v="6"/>
    <x v="1"/>
    <n v="2"/>
    <n v="2"/>
    <n v="1"/>
    <n v="2"/>
    <x v="2"/>
    <x v="1"/>
  </r>
  <r>
    <n v="39"/>
    <x v="1"/>
    <s v="Non-Travel"/>
    <n v="105"/>
    <x v="1"/>
    <n v="9"/>
    <n v="3"/>
    <s v="Life Sciences"/>
    <n v="1"/>
    <x v="1437"/>
    <n v="4"/>
    <s v="Male"/>
    <n v="87"/>
    <n v="3"/>
    <n v="5"/>
    <x v="5"/>
    <x v="0"/>
    <s v="Single"/>
    <n v="19431"/>
    <n v="15302"/>
    <n v="2"/>
    <s v="Y"/>
    <x v="1"/>
    <n v="13"/>
    <n v="3"/>
    <n v="3"/>
    <n v="80"/>
    <n v="0"/>
    <n v="21"/>
    <n v="3"/>
    <x v="2"/>
    <n v="6"/>
    <n v="0"/>
    <n v="1"/>
    <n v="3"/>
    <x v="1"/>
    <x v="2"/>
  </r>
  <r>
    <n v="23"/>
    <x v="0"/>
    <s v="Travel_Frequently"/>
    <n v="638"/>
    <x v="0"/>
    <n v="9"/>
    <n v="3"/>
    <s v="Marketing"/>
    <n v="1"/>
    <x v="1438"/>
    <n v="4"/>
    <s v="Male"/>
    <n v="33"/>
    <n v="3"/>
    <n v="1"/>
    <x v="6"/>
    <x v="3"/>
    <s v="Married"/>
    <n v="1790"/>
    <n v="26956"/>
    <n v="1"/>
    <s v="Y"/>
    <x v="1"/>
    <n v="19"/>
    <n v="3"/>
    <n v="1"/>
    <n v="80"/>
    <n v="1"/>
    <n v="1"/>
    <n v="3"/>
    <x v="2"/>
    <n v="1"/>
    <n v="0"/>
    <n v="1"/>
    <n v="0"/>
    <x v="2"/>
    <x v="1"/>
  </r>
  <r>
    <n v="36"/>
    <x v="1"/>
    <s v="Travel_Rarely"/>
    <n v="557"/>
    <x v="0"/>
    <n v="3"/>
    <n v="3"/>
    <s v="Medical"/>
    <n v="1"/>
    <x v="1439"/>
    <n v="1"/>
    <s v="Female"/>
    <n v="94"/>
    <n v="2"/>
    <n v="3"/>
    <x v="0"/>
    <x v="0"/>
    <s v="Married"/>
    <n v="7644"/>
    <n v="12695"/>
    <n v="0"/>
    <s v="Y"/>
    <x v="1"/>
    <n v="19"/>
    <n v="3"/>
    <n v="3"/>
    <n v="80"/>
    <n v="2"/>
    <n v="10"/>
    <n v="2"/>
    <x v="1"/>
    <n v="9"/>
    <n v="7"/>
    <n v="3"/>
    <n v="4"/>
    <x v="1"/>
    <x v="2"/>
  </r>
  <r>
    <n v="36"/>
    <x v="1"/>
    <s v="Travel_Frequently"/>
    <n v="688"/>
    <x v="1"/>
    <n v="4"/>
    <n v="2"/>
    <s v="Life Sciences"/>
    <n v="1"/>
    <x v="1440"/>
    <n v="4"/>
    <s v="Female"/>
    <n v="97"/>
    <n v="3"/>
    <n v="2"/>
    <x v="3"/>
    <x v="1"/>
    <s v="Divorced"/>
    <n v="5131"/>
    <n v="9192"/>
    <n v="7"/>
    <s v="Y"/>
    <x v="1"/>
    <n v="13"/>
    <n v="3"/>
    <n v="2"/>
    <n v="80"/>
    <n v="3"/>
    <n v="18"/>
    <n v="3"/>
    <x v="1"/>
    <n v="4"/>
    <n v="2"/>
    <n v="0"/>
    <n v="2"/>
    <x v="1"/>
    <x v="0"/>
  </r>
  <r>
    <n v="56"/>
    <x v="1"/>
    <s v="Non-Travel"/>
    <n v="667"/>
    <x v="1"/>
    <n v="1"/>
    <n v="4"/>
    <s v="Life Sciences"/>
    <n v="1"/>
    <x v="1441"/>
    <n v="3"/>
    <s v="Male"/>
    <n v="57"/>
    <n v="3"/>
    <n v="2"/>
    <x v="4"/>
    <x v="2"/>
    <s v="Divorced"/>
    <n v="6306"/>
    <n v="26236"/>
    <n v="1"/>
    <s v="Y"/>
    <x v="1"/>
    <n v="21"/>
    <n v="4"/>
    <n v="1"/>
    <n v="80"/>
    <n v="1"/>
    <n v="13"/>
    <n v="2"/>
    <x v="2"/>
    <n v="13"/>
    <n v="12"/>
    <n v="1"/>
    <n v="9"/>
    <x v="3"/>
    <x v="0"/>
  </r>
  <r>
    <n v="29"/>
    <x v="0"/>
    <s v="Travel_Rarely"/>
    <n v="1092"/>
    <x v="1"/>
    <n v="1"/>
    <n v="4"/>
    <s v="Medical"/>
    <n v="1"/>
    <x v="1442"/>
    <n v="1"/>
    <s v="Male"/>
    <n v="36"/>
    <n v="3"/>
    <n v="1"/>
    <x v="1"/>
    <x v="0"/>
    <s v="Married"/>
    <n v="4787"/>
    <n v="26124"/>
    <n v="9"/>
    <s v="Y"/>
    <x v="0"/>
    <n v="14"/>
    <n v="3"/>
    <n v="2"/>
    <n v="80"/>
    <n v="3"/>
    <n v="4"/>
    <n v="3"/>
    <x v="3"/>
    <n v="2"/>
    <n v="2"/>
    <n v="2"/>
    <n v="2"/>
    <x v="2"/>
    <x v="0"/>
  </r>
  <r>
    <n v="42"/>
    <x v="1"/>
    <s v="Travel_Rarely"/>
    <n v="300"/>
    <x v="1"/>
    <n v="2"/>
    <n v="3"/>
    <s v="Life Sciences"/>
    <n v="1"/>
    <x v="1443"/>
    <n v="1"/>
    <s v="Male"/>
    <n v="56"/>
    <n v="3"/>
    <n v="5"/>
    <x v="5"/>
    <x v="2"/>
    <s v="Married"/>
    <n v="18880"/>
    <n v="17312"/>
    <n v="5"/>
    <s v="Y"/>
    <x v="1"/>
    <n v="11"/>
    <n v="3"/>
    <n v="1"/>
    <n v="80"/>
    <n v="0"/>
    <n v="24"/>
    <n v="2"/>
    <x v="2"/>
    <n v="22"/>
    <n v="6"/>
    <n v="4"/>
    <n v="14"/>
    <x v="0"/>
    <x v="2"/>
  </r>
  <r>
    <n v="56"/>
    <x v="0"/>
    <s v="Travel_Rarely"/>
    <n v="310"/>
    <x v="1"/>
    <n v="7"/>
    <n v="2"/>
    <s v="Technical Degree"/>
    <n v="1"/>
    <x v="1444"/>
    <n v="4"/>
    <s v="Male"/>
    <n v="72"/>
    <n v="3"/>
    <n v="1"/>
    <x v="2"/>
    <x v="2"/>
    <s v="Married"/>
    <n v="2339"/>
    <n v="3666"/>
    <n v="8"/>
    <s v="Y"/>
    <x v="1"/>
    <n v="11"/>
    <n v="3"/>
    <n v="4"/>
    <n v="80"/>
    <n v="1"/>
    <n v="14"/>
    <n v="4"/>
    <x v="0"/>
    <n v="10"/>
    <n v="9"/>
    <n v="9"/>
    <n v="8"/>
    <x v="3"/>
    <x v="1"/>
  </r>
  <r>
    <n v="41"/>
    <x v="1"/>
    <s v="Travel_Rarely"/>
    <n v="582"/>
    <x v="1"/>
    <n v="28"/>
    <n v="4"/>
    <s v="Life Sciences"/>
    <n v="1"/>
    <x v="1445"/>
    <n v="1"/>
    <s v="Female"/>
    <n v="60"/>
    <n v="2"/>
    <n v="4"/>
    <x v="3"/>
    <x v="1"/>
    <s v="Married"/>
    <n v="13570"/>
    <n v="5640"/>
    <n v="0"/>
    <s v="Y"/>
    <x v="1"/>
    <n v="23"/>
    <n v="4"/>
    <n v="3"/>
    <n v="80"/>
    <n v="1"/>
    <n v="21"/>
    <n v="3"/>
    <x v="1"/>
    <n v="20"/>
    <n v="7"/>
    <n v="0"/>
    <n v="10"/>
    <x v="0"/>
    <x v="2"/>
  </r>
  <r>
    <n v="34"/>
    <x v="1"/>
    <s v="Travel_Rarely"/>
    <n v="704"/>
    <x v="0"/>
    <n v="28"/>
    <n v="3"/>
    <s v="Marketing"/>
    <n v="1"/>
    <x v="1446"/>
    <n v="4"/>
    <s v="Female"/>
    <n v="95"/>
    <n v="2"/>
    <n v="2"/>
    <x v="0"/>
    <x v="2"/>
    <s v="Married"/>
    <n v="6712"/>
    <n v="8978"/>
    <n v="1"/>
    <s v="Y"/>
    <x v="1"/>
    <n v="21"/>
    <n v="4"/>
    <n v="4"/>
    <n v="80"/>
    <n v="2"/>
    <n v="8"/>
    <n v="2"/>
    <x v="1"/>
    <n v="8"/>
    <n v="7"/>
    <n v="1"/>
    <n v="7"/>
    <x v="1"/>
    <x v="0"/>
  </r>
  <r>
    <n v="36"/>
    <x v="1"/>
    <s v="Non-Travel"/>
    <n v="301"/>
    <x v="0"/>
    <n v="15"/>
    <n v="4"/>
    <s v="Marketing"/>
    <n v="1"/>
    <x v="1447"/>
    <n v="4"/>
    <s v="Male"/>
    <n v="88"/>
    <n v="1"/>
    <n v="2"/>
    <x v="0"/>
    <x v="0"/>
    <s v="Divorced"/>
    <n v="5406"/>
    <n v="10436"/>
    <n v="1"/>
    <s v="Y"/>
    <x v="1"/>
    <n v="24"/>
    <n v="4"/>
    <n v="1"/>
    <n v="80"/>
    <n v="1"/>
    <n v="15"/>
    <n v="4"/>
    <x v="2"/>
    <n v="15"/>
    <n v="12"/>
    <n v="11"/>
    <n v="11"/>
    <x v="1"/>
    <x v="0"/>
  </r>
  <r>
    <n v="41"/>
    <x v="1"/>
    <s v="Travel_Rarely"/>
    <n v="930"/>
    <x v="0"/>
    <n v="3"/>
    <n v="3"/>
    <s v="Life Sciences"/>
    <n v="1"/>
    <x v="1448"/>
    <n v="3"/>
    <s v="Male"/>
    <n v="57"/>
    <n v="2"/>
    <n v="2"/>
    <x v="0"/>
    <x v="1"/>
    <s v="Divorced"/>
    <n v="8938"/>
    <n v="12227"/>
    <n v="2"/>
    <s v="Y"/>
    <x v="1"/>
    <n v="11"/>
    <n v="3"/>
    <n v="3"/>
    <n v="80"/>
    <n v="1"/>
    <n v="14"/>
    <n v="5"/>
    <x v="1"/>
    <n v="5"/>
    <n v="4"/>
    <n v="0"/>
    <n v="4"/>
    <x v="0"/>
    <x v="2"/>
  </r>
  <r>
    <n v="32"/>
    <x v="1"/>
    <s v="Travel_Rarely"/>
    <n v="529"/>
    <x v="1"/>
    <n v="2"/>
    <n v="3"/>
    <s v="Technical Degree"/>
    <n v="1"/>
    <x v="1449"/>
    <n v="4"/>
    <s v="Male"/>
    <n v="78"/>
    <n v="3"/>
    <n v="1"/>
    <x v="1"/>
    <x v="3"/>
    <s v="Single"/>
    <n v="2439"/>
    <n v="11288"/>
    <n v="1"/>
    <s v="Y"/>
    <x v="1"/>
    <n v="14"/>
    <n v="3"/>
    <n v="4"/>
    <n v="80"/>
    <n v="0"/>
    <n v="4"/>
    <n v="4"/>
    <x v="1"/>
    <n v="4"/>
    <n v="2"/>
    <n v="1"/>
    <n v="2"/>
    <x v="1"/>
    <x v="1"/>
  </r>
  <r>
    <n v="35"/>
    <x v="1"/>
    <s v="Travel_Rarely"/>
    <n v="1146"/>
    <x v="2"/>
    <n v="26"/>
    <n v="4"/>
    <s v="Life Sciences"/>
    <n v="1"/>
    <x v="1450"/>
    <n v="3"/>
    <s v="Female"/>
    <n v="31"/>
    <n v="3"/>
    <n v="3"/>
    <x v="8"/>
    <x v="0"/>
    <s v="Single"/>
    <n v="8837"/>
    <n v="16642"/>
    <n v="1"/>
    <s v="Y"/>
    <x v="0"/>
    <n v="16"/>
    <n v="3"/>
    <n v="3"/>
    <n v="80"/>
    <n v="0"/>
    <n v="9"/>
    <n v="2"/>
    <x v="1"/>
    <n v="9"/>
    <n v="0"/>
    <n v="1"/>
    <n v="7"/>
    <x v="1"/>
    <x v="2"/>
  </r>
  <r>
    <n v="38"/>
    <x v="1"/>
    <s v="Travel_Rarely"/>
    <n v="345"/>
    <x v="0"/>
    <n v="10"/>
    <n v="2"/>
    <s v="Life Sciences"/>
    <n v="1"/>
    <x v="1451"/>
    <n v="1"/>
    <s v="Female"/>
    <n v="100"/>
    <n v="3"/>
    <n v="2"/>
    <x v="0"/>
    <x v="0"/>
    <s v="Married"/>
    <n v="5343"/>
    <n v="5982"/>
    <n v="1"/>
    <s v="Y"/>
    <x v="1"/>
    <n v="11"/>
    <n v="3"/>
    <n v="3"/>
    <n v="80"/>
    <n v="1"/>
    <n v="10"/>
    <n v="1"/>
    <x v="1"/>
    <n v="10"/>
    <n v="7"/>
    <n v="1"/>
    <n v="9"/>
    <x v="1"/>
    <x v="0"/>
  </r>
  <r>
    <n v="50"/>
    <x v="0"/>
    <s v="Travel_Frequently"/>
    <n v="878"/>
    <x v="0"/>
    <n v="1"/>
    <n v="4"/>
    <s v="Life Sciences"/>
    <n v="1"/>
    <x v="1452"/>
    <n v="2"/>
    <s v="Male"/>
    <n v="94"/>
    <n v="3"/>
    <n v="2"/>
    <x v="0"/>
    <x v="2"/>
    <s v="Divorced"/>
    <n v="6728"/>
    <n v="14255"/>
    <n v="7"/>
    <s v="Y"/>
    <x v="1"/>
    <n v="12"/>
    <n v="3"/>
    <n v="4"/>
    <n v="80"/>
    <n v="2"/>
    <n v="12"/>
    <n v="3"/>
    <x v="1"/>
    <n v="6"/>
    <n v="3"/>
    <n v="0"/>
    <n v="1"/>
    <x v="0"/>
    <x v="0"/>
  </r>
  <r>
    <n v="36"/>
    <x v="1"/>
    <s v="Travel_Rarely"/>
    <n v="1120"/>
    <x v="0"/>
    <n v="11"/>
    <n v="4"/>
    <s v="Marketing"/>
    <n v="1"/>
    <x v="1453"/>
    <n v="2"/>
    <s v="Female"/>
    <n v="100"/>
    <n v="2"/>
    <n v="2"/>
    <x v="0"/>
    <x v="0"/>
    <s v="Married"/>
    <n v="6652"/>
    <n v="14369"/>
    <n v="4"/>
    <s v="Y"/>
    <x v="1"/>
    <n v="13"/>
    <n v="3"/>
    <n v="1"/>
    <n v="80"/>
    <n v="1"/>
    <n v="8"/>
    <n v="2"/>
    <x v="2"/>
    <n v="6"/>
    <n v="3"/>
    <n v="0"/>
    <n v="0"/>
    <x v="1"/>
    <x v="0"/>
  </r>
  <r>
    <n v="45"/>
    <x v="1"/>
    <s v="Travel_Rarely"/>
    <n v="374"/>
    <x v="0"/>
    <n v="20"/>
    <n v="3"/>
    <s v="Life Sciences"/>
    <n v="1"/>
    <x v="1454"/>
    <n v="4"/>
    <s v="Female"/>
    <n v="50"/>
    <n v="3"/>
    <n v="2"/>
    <x v="0"/>
    <x v="2"/>
    <s v="Single"/>
    <n v="4850"/>
    <n v="23333"/>
    <n v="8"/>
    <s v="Y"/>
    <x v="1"/>
    <n v="15"/>
    <n v="3"/>
    <n v="3"/>
    <n v="80"/>
    <n v="0"/>
    <n v="8"/>
    <n v="3"/>
    <x v="1"/>
    <n v="5"/>
    <n v="3"/>
    <n v="0"/>
    <n v="1"/>
    <x v="0"/>
    <x v="0"/>
  </r>
  <r>
    <n v="40"/>
    <x v="1"/>
    <s v="Travel_Rarely"/>
    <n v="1322"/>
    <x v="1"/>
    <n v="2"/>
    <n v="4"/>
    <s v="Life Sciences"/>
    <n v="1"/>
    <x v="1455"/>
    <n v="3"/>
    <s v="Male"/>
    <n v="52"/>
    <n v="2"/>
    <n v="1"/>
    <x v="1"/>
    <x v="2"/>
    <s v="Single"/>
    <n v="2809"/>
    <n v="2725"/>
    <n v="2"/>
    <s v="Y"/>
    <x v="1"/>
    <n v="14"/>
    <n v="3"/>
    <n v="4"/>
    <n v="80"/>
    <n v="0"/>
    <n v="8"/>
    <n v="2"/>
    <x v="1"/>
    <n v="2"/>
    <n v="2"/>
    <n v="2"/>
    <n v="2"/>
    <x v="1"/>
    <x v="1"/>
  </r>
  <r>
    <n v="35"/>
    <x v="1"/>
    <s v="Travel_Frequently"/>
    <n v="1199"/>
    <x v="1"/>
    <n v="18"/>
    <n v="4"/>
    <s v="Life Sciences"/>
    <n v="1"/>
    <x v="1456"/>
    <n v="3"/>
    <s v="Male"/>
    <n v="80"/>
    <n v="3"/>
    <n v="2"/>
    <x v="4"/>
    <x v="2"/>
    <s v="Married"/>
    <n v="5689"/>
    <n v="24594"/>
    <n v="1"/>
    <s v="Y"/>
    <x v="0"/>
    <n v="14"/>
    <n v="3"/>
    <n v="4"/>
    <n v="80"/>
    <n v="2"/>
    <n v="10"/>
    <n v="2"/>
    <x v="3"/>
    <n v="10"/>
    <n v="2"/>
    <n v="0"/>
    <n v="2"/>
    <x v="1"/>
    <x v="0"/>
  </r>
  <r>
    <n v="40"/>
    <x v="1"/>
    <s v="Travel_Rarely"/>
    <n v="1194"/>
    <x v="1"/>
    <n v="2"/>
    <n v="4"/>
    <s v="Medical"/>
    <n v="1"/>
    <x v="1457"/>
    <n v="3"/>
    <s v="Female"/>
    <n v="98"/>
    <n v="3"/>
    <n v="1"/>
    <x v="1"/>
    <x v="2"/>
    <s v="Married"/>
    <n v="2001"/>
    <n v="12549"/>
    <n v="2"/>
    <s v="Y"/>
    <x v="1"/>
    <n v="14"/>
    <n v="3"/>
    <n v="2"/>
    <n v="80"/>
    <n v="3"/>
    <n v="20"/>
    <n v="2"/>
    <x v="1"/>
    <n v="5"/>
    <n v="3"/>
    <n v="0"/>
    <n v="2"/>
    <x v="1"/>
    <x v="1"/>
  </r>
  <r>
    <n v="35"/>
    <x v="1"/>
    <s v="Travel_Rarely"/>
    <n v="287"/>
    <x v="1"/>
    <n v="1"/>
    <n v="4"/>
    <s v="Life Sciences"/>
    <n v="1"/>
    <x v="1458"/>
    <n v="3"/>
    <s v="Female"/>
    <n v="62"/>
    <n v="1"/>
    <n v="1"/>
    <x v="1"/>
    <x v="0"/>
    <s v="Married"/>
    <n v="2977"/>
    <n v="8952"/>
    <n v="1"/>
    <s v="Y"/>
    <x v="1"/>
    <n v="12"/>
    <n v="3"/>
    <n v="4"/>
    <n v="80"/>
    <n v="1"/>
    <n v="4"/>
    <n v="5"/>
    <x v="1"/>
    <n v="4"/>
    <n v="3"/>
    <n v="1"/>
    <n v="1"/>
    <x v="1"/>
    <x v="1"/>
  </r>
  <r>
    <n v="29"/>
    <x v="1"/>
    <s v="Travel_Rarely"/>
    <n v="1378"/>
    <x v="1"/>
    <n v="13"/>
    <n v="2"/>
    <s v="Other"/>
    <n v="1"/>
    <x v="1459"/>
    <n v="4"/>
    <s v="Male"/>
    <n v="46"/>
    <n v="2"/>
    <n v="2"/>
    <x v="2"/>
    <x v="1"/>
    <s v="Married"/>
    <n v="4025"/>
    <n v="23679"/>
    <n v="4"/>
    <s v="Y"/>
    <x v="0"/>
    <n v="13"/>
    <n v="3"/>
    <n v="1"/>
    <n v="80"/>
    <n v="1"/>
    <n v="10"/>
    <n v="2"/>
    <x v="1"/>
    <n v="4"/>
    <n v="3"/>
    <n v="0"/>
    <n v="3"/>
    <x v="2"/>
    <x v="0"/>
  </r>
  <r>
    <n v="29"/>
    <x v="1"/>
    <s v="Travel_Rarely"/>
    <n v="468"/>
    <x v="1"/>
    <n v="28"/>
    <n v="4"/>
    <s v="Medical"/>
    <n v="1"/>
    <x v="1460"/>
    <n v="4"/>
    <s v="Female"/>
    <n v="73"/>
    <n v="2"/>
    <n v="1"/>
    <x v="1"/>
    <x v="3"/>
    <s v="Single"/>
    <n v="3785"/>
    <n v="8489"/>
    <n v="1"/>
    <s v="Y"/>
    <x v="1"/>
    <n v="14"/>
    <n v="3"/>
    <n v="2"/>
    <n v="80"/>
    <n v="0"/>
    <n v="5"/>
    <n v="3"/>
    <x v="0"/>
    <n v="5"/>
    <n v="4"/>
    <n v="0"/>
    <n v="4"/>
    <x v="2"/>
    <x v="1"/>
  </r>
  <r>
    <n v="50"/>
    <x v="0"/>
    <s v="Travel_Rarely"/>
    <n v="410"/>
    <x v="0"/>
    <n v="28"/>
    <n v="3"/>
    <s v="Marketing"/>
    <n v="1"/>
    <x v="1461"/>
    <n v="4"/>
    <s v="Male"/>
    <n v="39"/>
    <n v="2"/>
    <n v="3"/>
    <x v="0"/>
    <x v="3"/>
    <s v="Divorced"/>
    <n v="10854"/>
    <n v="16586"/>
    <n v="4"/>
    <s v="Y"/>
    <x v="0"/>
    <n v="13"/>
    <n v="3"/>
    <n v="2"/>
    <n v="80"/>
    <n v="1"/>
    <n v="20"/>
    <n v="3"/>
    <x v="1"/>
    <n v="3"/>
    <n v="2"/>
    <n v="2"/>
    <n v="0"/>
    <x v="0"/>
    <x v="2"/>
  </r>
  <r>
    <n v="39"/>
    <x v="1"/>
    <s v="Travel_Rarely"/>
    <n v="722"/>
    <x v="0"/>
    <n v="24"/>
    <n v="1"/>
    <s v="Marketing"/>
    <n v="1"/>
    <x v="1462"/>
    <n v="2"/>
    <s v="Female"/>
    <n v="60"/>
    <n v="2"/>
    <n v="4"/>
    <x v="0"/>
    <x v="0"/>
    <s v="Married"/>
    <n v="12031"/>
    <n v="8828"/>
    <n v="0"/>
    <s v="Y"/>
    <x v="1"/>
    <n v="11"/>
    <n v="3"/>
    <n v="1"/>
    <n v="80"/>
    <n v="1"/>
    <n v="21"/>
    <n v="2"/>
    <x v="2"/>
    <n v="20"/>
    <n v="9"/>
    <n v="9"/>
    <n v="6"/>
    <x v="1"/>
    <x v="2"/>
  </r>
  <r>
    <n v="31"/>
    <x v="1"/>
    <s v="Non-Travel"/>
    <n v="325"/>
    <x v="1"/>
    <n v="5"/>
    <n v="3"/>
    <s v="Medical"/>
    <n v="1"/>
    <x v="1463"/>
    <n v="2"/>
    <s v="Male"/>
    <n v="74"/>
    <n v="3"/>
    <n v="2"/>
    <x v="3"/>
    <x v="3"/>
    <s v="Single"/>
    <n v="9936"/>
    <n v="3787"/>
    <n v="0"/>
    <s v="Y"/>
    <x v="1"/>
    <n v="19"/>
    <n v="3"/>
    <n v="2"/>
    <n v="80"/>
    <n v="0"/>
    <n v="10"/>
    <n v="2"/>
    <x v="1"/>
    <n v="9"/>
    <n v="4"/>
    <n v="1"/>
    <n v="7"/>
    <x v="1"/>
    <x v="2"/>
  </r>
  <r>
    <n v="26"/>
    <x v="1"/>
    <s v="Travel_Rarely"/>
    <n v="1167"/>
    <x v="0"/>
    <n v="5"/>
    <n v="3"/>
    <s v="Other"/>
    <n v="1"/>
    <x v="1464"/>
    <n v="4"/>
    <s v="Female"/>
    <n v="30"/>
    <n v="2"/>
    <n v="1"/>
    <x v="6"/>
    <x v="2"/>
    <s v="Single"/>
    <n v="2966"/>
    <n v="21378"/>
    <n v="0"/>
    <s v="Y"/>
    <x v="1"/>
    <n v="18"/>
    <n v="3"/>
    <n v="4"/>
    <n v="80"/>
    <n v="0"/>
    <n v="5"/>
    <n v="2"/>
    <x v="1"/>
    <n v="4"/>
    <n v="2"/>
    <n v="0"/>
    <n v="0"/>
    <x v="2"/>
    <x v="1"/>
  </r>
  <r>
    <n v="36"/>
    <x v="1"/>
    <s v="Travel_Frequently"/>
    <n v="884"/>
    <x v="1"/>
    <n v="23"/>
    <n v="2"/>
    <s v="Medical"/>
    <n v="1"/>
    <x v="1465"/>
    <n v="3"/>
    <s v="Male"/>
    <n v="41"/>
    <n v="4"/>
    <n v="2"/>
    <x v="2"/>
    <x v="0"/>
    <s v="Married"/>
    <n v="2571"/>
    <n v="12290"/>
    <n v="4"/>
    <s v="Y"/>
    <x v="1"/>
    <n v="17"/>
    <n v="3"/>
    <n v="3"/>
    <n v="80"/>
    <n v="1"/>
    <n v="17"/>
    <n v="3"/>
    <x v="1"/>
    <n v="5"/>
    <n v="2"/>
    <n v="0"/>
    <n v="3"/>
    <x v="1"/>
    <x v="1"/>
  </r>
  <r>
    <n v="39"/>
    <x v="1"/>
    <s v="Travel_Rarely"/>
    <n v="613"/>
    <x v="1"/>
    <n v="6"/>
    <n v="1"/>
    <s v="Medical"/>
    <n v="1"/>
    <x v="1466"/>
    <n v="4"/>
    <s v="Male"/>
    <n v="42"/>
    <n v="2"/>
    <n v="3"/>
    <x v="4"/>
    <x v="3"/>
    <s v="Married"/>
    <n v="9991"/>
    <n v="21457"/>
    <n v="4"/>
    <s v="Y"/>
    <x v="1"/>
    <n v="15"/>
    <n v="3"/>
    <n v="1"/>
    <n v="80"/>
    <n v="1"/>
    <n v="9"/>
    <n v="5"/>
    <x v="1"/>
    <n v="7"/>
    <n v="7"/>
    <n v="1"/>
    <n v="7"/>
    <x v="1"/>
    <x v="2"/>
  </r>
  <r>
    <n v="27"/>
    <x v="1"/>
    <s v="Travel_Rarely"/>
    <n v="155"/>
    <x v="1"/>
    <n v="4"/>
    <n v="3"/>
    <s v="Life Sciences"/>
    <n v="1"/>
    <x v="1467"/>
    <n v="2"/>
    <s v="Male"/>
    <n v="87"/>
    <n v="4"/>
    <n v="2"/>
    <x v="3"/>
    <x v="1"/>
    <s v="Married"/>
    <n v="6142"/>
    <n v="5174"/>
    <n v="1"/>
    <s v="Y"/>
    <x v="0"/>
    <n v="20"/>
    <n v="4"/>
    <n v="2"/>
    <n v="80"/>
    <n v="1"/>
    <n v="6"/>
    <n v="0"/>
    <x v="1"/>
    <n v="6"/>
    <n v="2"/>
    <n v="0"/>
    <n v="3"/>
    <x v="2"/>
    <x v="0"/>
  </r>
  <r>
    <n v="49"/>
    <x v="1"/>
    <s v="Travel_Frequently"/>
    <n v="1023"/>
    <x v="0"/>
    <n v="2"/>
    <n v="3"/>
    <s v="Medical"/>
    <n v="1"/>
    <x v="1468"/>
    <n v="4"/>
    <s v="Male"/>
    <n v="63"/>
    <n v="2"/>
    <n v="2"/>
    <x v="0"/>
    <x v="1"/>
    <s v="Married"/>
    <n v="5390"/>
    <n v="13243"/>
    <n v="2"/>
    <s v="Y"/>
    <x v="1"/>
    <n v="14"/>
    <n v="3"/>
    <n v="4"/>
    <n v="80"/>
    <n v="0"/>
    <n v="17"/>
    <n v="3"/>
    <x v="2"/>
    <n v="9"/>
    <n v="6"/>
    <n v="0"/>
    <n v="8"/>
    <x v="0"/>
    <x v="0"/>
  </r>
  <r>
    <n v="34"/>
    <x v="1"/>
    <s v="Travel_Rarely"/>
    <n v="628"/>
    <x v="1"/>
    <n v="8"/>
    <n v="3"/>
    <s v="Medical"/>
    <n v="1"/>
    <x v="1469"/>
    <n v="2"/>
    <s v="Male"/>
    <n v="82"/>
    <n v="4"/>
    <n v="2"/>
    <x v="2"/>
    <x v="2"/>
    <s v="Married"/>
    <n v="4404"/>
    <n v="10228"/>
    <n v="2"/>
    <s v="Y"/>
    <x v="1"/>
    <n v="12"/>
    <n v="3"/>
    <n v="1"/>
    <n v="80"/>
    <n v="0"/>
    <n v="6"/>
    <n v="3"/>
    <x v="3"/>
    <n v="4"/>
    <n v="3"/>
    <n v="1"/>
    <n v="2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B0B1E3-6D9F-4883-8DBE-EEB3727B977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D8" firstHeaderRow="1" firstDataRow="2" firstDataCol="1"/>
  <pivotFields count="37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4" baseItem="1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8FBC4D-F2B6-49CE-9689-0AF9879EB54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4" firstHeaderRow="1" firstDataRow="2" firstDataCol="1"/>
  <pivotFields count="37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15" baseItem="1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B6C2EB-DC75-4DDF-89F1-11C17BC6BD5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D9" firstHeaderRow="1" firstDataRow="2" firstDataCol="1"/>
  <pivotFields count="37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</pivotFields>
  <rowFields count="1">
    <field x="35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showDataAs="percentOfRow" baseField="35" baseItem="1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1F9FBA-A870-4E49-9602-88BC83DC469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D8" firstHeaderRow="1" firstDataRow="2" firstDataCol="1"/>
  <pivotFields count="37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2"/>
        <item x="1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</pivotFields>
  <rowFields count="1">
    <field x="36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showDataAs="percentOfRow" baseField="36" baseItem="1" numFmtId="9"/>
  </dataFields>
  <formats count="2">
    <format dxfId="13">
      <pivotArea type="origin" dataOnly="0" labelOnly="1" outline="0" fieldPosition="0"/>
    </format>
    <format dxfId="1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2FDABA-7A95-40A1-B1DA-C7212BB7B2F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37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showDataAs="percentOfRow" baseField="22" baseItem="1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E428DD-EA83-4EB8-8CED-62B8A9D7CA5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D9" firstHeaderRow="1" firstDataRow="2" firstDataCol="1"/>
  <pivotFields count="37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showDataAs="percentOfRow" baseField="16" baseItem="2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1BC0B-795A-4DBA-8BCD-121E34196D1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37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Number" fld="9" showDataAs="percentOfRow" baseField="3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9FBDEC-D1EF-40C8-A094-0A29DD55890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D9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2" subtotal="count" showDataAs="percentOfRow" baseField="0" baseItem="2" numFmtId="9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EmployeeNumber"/>
  </pivotHierarchies>
  <pivotTableStyleInfo name="PivotStyleLight16" showRowHeaders="1" showColHeaders="1" showRowStripes="0" showColStripes="0" showLastColumn="1"/>
  <rowHierarchiesUsage count="1">
    <rowHierarchyUsage hierarchyUsage="37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_Analytics.xlsx!HR_Data">
        <x15:activeTabTopLevelEntity name="[HR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2EE3A7-FF66-4E17-8A37-5AB387AE9A8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_Group" colHeaderCaption="Income_Group" fieldListSortAscending="1">
  <location ref="A3:K10" firstHeaderRow="1" firstDataRow="3" firstDataCol="1"/>
  <pivotFields count="37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axis="axisCol" showAll="0">
      <items count="4">
        <item x="2"/>
        <item x="1"/>
        <item x="0"/>
        <item t="default"/>
      </items>
    </pivotField>
  </pivotFields>
  <rowFields count="1">
    <field x="35"/>
  </rowFields>
  <rowItems count="5">
    <i>
      <x/>
    </i>
    <i>
      <x v="1"/>
    </i>
    <i>
      <x v="2"/>
    </i>
    <i>
      <x v="3"/>
    </i>
    <i t="grand">
      <x/>
    </i>
  </rowItems>
  <colFields count="2">
    <field x="36"/>
    <field x="1"/>
  </colFields>
  <col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colItems>
  <dataFields count="1">
    <dataField name="Count of EmployeeNumber" fld="9" subtotal="count" showDataAs="percentOfRow" baseField="35" baseItem="3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3073DB-5E25-409F-A193-1C12DB90A97C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_Group" colHeaderCaption="Tenure_Group" fieldListSortAscending="1">
  <location ref="A3:J10" firstHeaderRow="1" firstDataRow="3" firstDataCol="1"/>
  <pivotFields count="4"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3"/>
  </colFields>
  <colItems count="9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 t="grand">
      <x/>
    </i>
  </colItems>
  <dataFields count="1">
    <dataField name="Count of EmployeeNumber" fld="2" subtotal="count" showDataAs="percentOfRow" baseField="0" baseItem="0" numFmtId="9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EmployeeNumber"/>
  </pivotHierarchies>
  <pivotTableStyleInfo name="PivotStyleLight16" showRowHeaders="1" showColHeaders="1" showRowStripes="0" showColStripes="0" showLastColumn="1"/>
  <rowHierarchiesUsage count="1">
    <rowHierarchyUsage hierarchyUsage="35"/>
  </rowHierarchiesUsage>
  <colHierarchiesUsage count="2">
    <colHierarchyUsage hierarchyUsage="37"/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_Analytics.xlsx!HR_Data">
        <x15:activeTabTopLevelEntity name="[HR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529183-36A8-41D3-9625-4D5ADD32120B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come_Group" colHeaderCaption="Overtime">
  <location ref="A3:F9" firstHeaderRow="1" firstDataRow="3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2">
    <field x="1"/>
    <field x="3"/>
  </colFields>
  <colItems count="5">
    <i>
      <x/>
      <x/>
    </i>
    <i r="1">
      <x v="1"/>
    </i>
    <i>
      <x v="1"/>
      <x/>
    </i>
    <i r="1">
      <x v="1"/>
    </i>
    <i t="grand">
      <x/>
    </i>
  </colItems>
  <dataFields count="1">
    <dataField name="Count of EmployeeNumber" fld="2" subtotal="count" showDataAs="percentOfRow" baseField="0" baseItem="0" numFmtId="9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EmployeeNumber"/>
  </pivotHierarchies>
  <pivotTableStyleInfo name="PivotStyleLight16" showRowHeaders="1" showColHeaders="1" showRowStripes="0" showColStripes="0" showLastColumn="1"/>
  <rowHierarchiesUsage count="1">
    <rowHierarchyUsage hierarchyUsage="36"/>
  </rowHierarchiesUsage>
  <colHierarchiesUsage count="2">
    <colHierarchyUsage hierarchyUsage="22"/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_Analytics.xlsx!HR_Data">
        <x15:activeTabTopLevelEntity name="[HR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F9A0D-D3F2-4638-8FBB-F7F6907DBCA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come_Group" colHeaderCaption="WLB">
  <location ref="A3:N9" firstHeaderRow="1" firstDataRow="3" firstDataCol="1"/>
  <pivotFields count="37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36"/>
  </rowFields>
  <rowItems count="4">
    <i>
      <x/>
    </i>
    <i>
      <x v="1"/>
    </i>
    <i>
      <x v="2"/>
    </i>
    <i t="grand">
      <x/>
    </i>
  </rowItems>
  <colFields count="2">
    <field x="30"/>
    <field x="1"/>
  </colFields>
  <colItems count="13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 t="grand">
      <x/>
    </i>
  </colItems>
  <dataFields count="1">
    <dataField name="Count of EmployeeNumber" fld="9" subtotal="count" showDataAs="percentOfRow" baseField="36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780E0B-540C-47CE-A38F-F3B829AE5061}" autoFormatId="16" applyNumberFormats="0" applyBorderFormats="0" applyFontFormats="0" applyPatternFormats="0" applyAlignmentFormats="0" applyWidthHeightFormats="0">
  <queryTableRefresh nextId="39" unboundColumnsRight="3">
    <queryTableFields count="38">
      <queryTableField id="1" name="Age" tableColumnId="36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  <queryTableField id="36" dataBound="0" tableColumnId="1"/>
      <queryTableField id="37" dataBound="0" tableColumnId="37"/>
      <queryTableField id="38" dataBound="0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570653-F3F4-4EF1-B483-CB3AACB381C1}" name="HR_Data" displayName="HR_Data" ref="A1:AL1471" tableType="queryTable" totalsRowShown="0">
  <autoFilter ref="A1:AL1471" xr:uid="{50570653-F3F4-4EF1-B483-CB3AACB381C1}">
    <filterColumn colId="35">
      <filters>
        <filter val="Under 30"/>
      </filters>
    </filterColumn>
    <filterColumn colId="36">
      <filters>
        <filter val="Low"/>
      </filters>
    </filterColumn>
  </autoFilter>
  <tableColumns count="38">
    <tableColumn id="36" xr3:uid="{7B191E15-A405-4803-BFEB-7418F8DE54CA}" uniqueName="36" name="Age" queryTableFieldId="1"/>
    <tableColumn id="2" xr3:uid="{8CF9DDD2-E3DB-4AE6-919C-19BAA2FF80D8}" uniqueName="2" name="Attrition" queryTableFieldId="2" dataDxfId="11"/>
    <tableColumn id="3" xr3:uid="{60A8FA1E-1C42-415C-BA8A-A2380EAF0531}" uniqueName="3" name="BusinessTravel" queryTableFieldId="3" dataDxfId="10"/>
    <tableColumn id="4" xr3:uid="{007B6CFE-B401-4B71-99CD-9FE9A26552BA}" uniqueName="4" name="DailyRate" queryTableFieldId="4"/>
    <tableColumn id="5" xr3:uid="{14CC2858-0A5D-4ABD-B674-D86782C2E376}" uniqueName="5" name="Department" queryTableFieldId="5" dataDxfId="9"/>
    <tableColumn id="6" xr3:uid="{F506B100-5349-4E0F-81ED-A1B219B22053}" uniqueName="6" name="DistanceFromHome" queryTableFieldId="6"/>
    <tableColumn id="7" xr3:uid="{BF65E850-A2EF-4F15-ABD8-4ABF9B63F4C6}" uniqueName="7" name="Education" queryTableFieldId="7"/>
    <tableColumn id="8" xr3:uid="{2ACDEFA5-EBD8-46F0-A595-B0820FE7068A}" uniqueName="8" name="EducationField" queryTableFieldId="8" dataDxfId="8"/>
    <tableColumn id="9" xr3:uid="{3E9A7615-E14C-47C7-8AD8-CAA86C835CB4}" uniqueName="9" name="EmployeeCount" queryTableFieldId="9"/>
    <tableColumn id="10" xr3:uid="{333EDDDD-2DD4-407F-817A-B1280B4EB285}" uniqueName="10" name="EmployeeNumber" queryTableFieldId="10"/>
    <tableColumn id="11" xr3:uid="{B61952DF-2E15-4B3C-BED4-7DC7EF36A52E}" uniqueName="11" name="EnvironmentSatisfaction" queryTableFieldId="11"/>
    <tableColumn id="12" xr3:uid="{E0CDCA2B-60A8-434D-88C6-818DC5B17075}" uniqueName="12" name="Gender" queryTableFieldId="12" dataDxfId="7"/>
    <tableColumn id="13" xr3:uid="{B690A615-5EAF-4104-8A6F-C8C88069646D}" uniqueName="13" name="HourlyRate" queryTableFieldId="13"/>
    <tableColumn id="14" xr3:uid="{64DB98E6-1994-4C1F-A8C1-3496334779C7}" uniqueName="14" name="JobInvolvement" queryTableFieldId="14"/>
    <tableColumn id="15" xr3:uid="{8FDF2685-CBBD-4FD2-AB3E-54B247D7C515}" uniqueName="15" name="JobLevel" queryTableFieldId="15"/>
    <tableColumn id="16" xr3:uid="{52D19FBB-F95F-4953-8130-8CCAEB347BC3}" uniqueName="16" name="JobRole" queryTableFieldId="16" dataDxfId="6"/>
    <tableColumn id="17" xr3:uid="{473BB5A1-8595-4AE0-B200-CA7E913A2B0A}" uniqueName="17" name="JobSatisfaction" queryTableFieldId="17"/>
    <tableColumn id="18" xr3:uid="{395EA3B7-D2AC-4086-BA2A-CF0C7A0F71D1}" uniqueName="18" name="MaritalStatus" queryTableFieldId="18" dataDxfId="5"/>
    <tableColumn id="19" xr3:uid="{61E5B1C0-F0A6-4FD3-AA9C-66E08ACDE5CB}" uniqueName="19" name="MonthlyIncome" queryTableFieldId="19"/>
    <tableColumn id="20" xr3:uid="{E38253BC-7A36-45D0-AB18-4C1416099E9A}" uniqueName="20" name="MonthlyRate" queryTableFieldId="20"/>
    <tableColumn id="21" xr3:uid="{CB3DE167-298A-4366-8716-F5C50CEB2963}" uniqueName="21" name="NumCompaniesWorked" queryTableFieldId="21"/>
    <tableColumn id="22" xr3:uid="{C34C571C-265F-46E9-92D3-1D935F913BEE}" uniqueName="22" name="Over18" queryTableFieldId="22" dataDxfId="4"/>
    <tableColumn id="23" xr3:uid="{35119E7E-4D3C-403F-A081-EC0296D5CAFC}" uniqueName="23" name="OverTime" queryTableFieldId="23" dataDxfId="3"/>
    <tableColumn id="24" xr3:uid="{3E1FD0D0-C115-4B67-9299-C52581010216}" uniqueName="24" name="PercentSalaryHike" queryTableFieldId="24"/>
    <tableColumn id="25" xr3:uid="{BB5407C5-F4E0-4A42-915D-D502BA2F36E6}" uniqueName="25" name="PerformanceRating" queryTableFieldId="25"/>
    <tableColumn id="26" xr3:uid="{C301A484-B814-4FC4-A69E-3CA2E65C8CBC}" uniqueName="26" name="RelationshipSatisfaction" queryTableFieldId="26"/>
    <tableColumn id="27" xr3:uid="{C2CEA29C-63BF-4905-9B32-387FB04837C1}" uniqueName="27" name="StandardHours" queryTableFieldId="27"/>
    <tableColumn id="28" xr3:uid="{F5AE8E2C-03C9-46F0-AA65-DFF81B6F2B4F}" uniqueName="28" name="StockOptionLevel" queryTableFieldId="28"/>
    <tableColumn id="29" xr3:uid="{A97C8ABE-DA62-40C7-B2E3-1A2A2D4D7749}" uniqueName="29" name="TotalWorkingYears" queryTableFieldId="29"/>
    <tableColumn id="30" xr3:uid="{D728B5B4-72C1-4DE5-9F23-BCF353CA0A58}" uniqueName="30" name="TrainingTimesLastYear" queryTableFieldId="30"/>
    <tableColumn id="31" xr3:uid="{C83346C6-8A1B-4A7A-A268-5C38F7F95FEC}" uniqueName="31" name="WorkLifeBalance" queryTableFieldId="31"/>
    <tableColumn id="32" xr3:uid="{CBB7BAAE-F867-4A5C-B937-A6680A8669A6}" uniqueName="32" name="YearsAtCompany" queryTableFieldId="32"/>
    <tableColumn id="33" xr3:uid="{200F9858-10F0-4CDA-97E2-50F6BEE535CC}" uniqueName="33" name="YearsInCurrentRole" queryTableFieldId="33"/>
    <tableColumn id="34" xr3:uid="{8F08A2DB-7E64-44FF-A5A7-DCAF4D525ECF}" uniqueName="34" name="YearsSinceLastPromotion" queryTableFieldId="34"/>
    <tableColumn id="35" xr3:uid="{15893B89-5FF0-4157-8288-3EDD05C2BA45}" uniqueName="35" name="YearsWithCurrManager" queryTableFieldId="35"/>
    <tableColumn id="1" xr3:uid="{FCA2855F-938C-4E5D-AD71-F4551E54FF74}" uniqueName="1" name="Age_Group" queryTableFieldId="36" dataDxfId="2">
      <calculatedColumnFormula>IF(HR_Data[[#This Row],[Age]]&lt;30,"Under 30",IF(HR_Data[[#This Row],[Age]]&lt;=40,"30-40",IF(HR_Data[[#This Row],[Age]]&lt;=50,"41-50","50+")))</calculatedColumnFormula>
    </tableColumn>
    <tableColumn id="37" xr3:uid="{8C18F1D8-0C08-47A5-A452-F03EA4D801F7}" uniqueName="37" name="Income_Group" queryTableFieldId="37" dataDxfId="1">
      <calculatedColumnFormula>IF(HR_Data[[#This Row],[MonthlyIncome]]&lt;4000,"Low",IF(HR_Data[[#This Row],[MonthlyIncome]]&lt;=7000,"Medium","High"))</calculatedColumnFormula>
    </tableColumn>
    <tableColumn id="39" xr3:uid="{D35F9195-F6F2-4786-8311-604DD0D68ED0}" uniqueName="39" name="Tenure_Group" queryTableFieldId="38" dataDxfId="0">
      <calculatedColumnFormula>IF(HR_Data[[#This Row],[YearsAtCompany]]&lt;2,"&lt;2 Years",IF(HR_Data[[#This Row],[YearsAtCompany]]&lt;=5,"2-5 Years",IF(HR_Data[[#This Row],[YearsAtCompany]]&lt;=10,"6-10 Years","10+ Years")))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D8CBF-1D46-4E49-B7AC-2DCF09043C25}">
  <dimension ref="A3:D8"/>
  <sheetViews>
    <sheetView tabSelected="1" workbookViewId="0">
      <selection activeCell="B5" sqref="B5"/>
    </sheetView>
  </sheetViews>
  <sheetFormatPr defaultRowHeight="15" x14ac:dyDescent="0.25"/>
  <cols>
    <col min="1" max="1" width="23.85546875" bestFit="1" customWidth="1"/>
    <col min="2" max="2" width="16.28515625" bestFit="1" customWidth="1"/>
    <col min="3" max="3" width="4.5703125" bestFit="1" customWidth="1"/>
    <col min="4" max="4" width="11.28515625" bestFit="1" customWidth="1"/>
    <col min="5" max="15" width="3" bestFit="1" customWidth="1"/>
    <col min="16" max="116" width="4" bestFit="1" customWidth="1"/>
    <col min="117" max="238" width="5" bestFit="1" customWidth="1"/>
    <col min="239" max="239" width="11.28515625" bestFit="1" customWidth="1"/>
  </cols>
  <sheetData>
    <row r="3" spans="1:4" x14ac:dyDescent="0.25">
      <c r="A3" s="2" t="s">
        <v>71</v>
      </c>
      <c r="B3" s="2" t="s">
        <v>73</v>
      </c>
    </row>
    <row r="4" spans="1:4" x14ac:dyDescent="0.25">
      <c r="A4" s="2" t="s">
        <v>69</v>
      </c>
      <c r="B4" t="s">
        <v>43</v>
      </c>
      <c r="C4" t="s">
        <v>35</v>
      </c>
      <c r="D4" t="s">
        <v>70</v>
      </c>
    </row>
    <row r="5" spans="1:4" x14ac:dyDescent="0.25">
      <c r="A5" s="3" t="s">
        <v>61</v>
      </c>
      <c r="B5" s="5">
        <v>0.80952380952380953</v>
      </c>
      <c r="C5" s="5">
        <v>0.19047619047619047</v>
      </c>
      <c r="D5" s="5">
        <v>1</v>
      </c>
    </row>
    <row r="6" spans="1:4" x14ac:dyDescent="0.25">
      <c r="A6" s="3" t="s">
        <v>45</v>
      </c>
      <c r="B6" s="5">
        <v>0.86160249739854322</v>
      </c>
      <c r="C6" s="5">
        <v>0.13839750260145681</v>
      </c>
      <c r="D6" s="5">
        <v>1</v>
      </c>
    </row>
    <row r="7" spans="1:4" x14ac:dyDescent="0.25">
      <c r="A7" s="3" t="s">
        <v>37</v>
      </c>
      <c r="B7" s="5">
        <v>0.79372197309417036</v>
      </c>
      <c r="C7" s="5">
        <v>0.20627802690582961</v>
      </c>
      <c r="D7" s="5">
        <v>1</v>
      </c>
    </row>
    <row r="8" spans="1:4" x14ac:dyDescent="0.25">
      <c r="A8" s="3" t="s">
        <v>70</v>
      </c>
      <c r="B8" s="5">
        <v>0.83877551020408159</v>
      </c>
      <c r="C8" s="5">
        <v>0.16122448979591836</v>
      </c>
      <c r="D8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618E1-8447-47FD-A324-235A00947D36}">
  <dimension ref="A3:D14"/>
  <sheetViews>
    <sheetView workbookViewId="0">
      <selection activeCell="A6" sqref="A6"/>
    </sheetView>
  </sheetViews>
  <sheetFormatPr defaultRowHeight="15" x14ac:dyDescent="0.25"/>
  <cols>
    <col min="1" max="1" width="25" bestFit="1" customWidth="1"/>
    <col min="2" max="2" width="16.28515625" bestFit="1" customWidth="1"/>
    <col min="3" max="3" width="4.5703125" bestFit="1" customWidth="1"/>
    <col min="4" max="4" width="11.28515625" bestFit="1" customWidth="1"/>
  </cols>
  <sheetData>
    <row r="3" spans="1:4" x14ac:dyDescent="0.25">
      <c r="A3" s="2" t="s">
        <v>71</v>
      </c>
      <c r="B3" s="2" t="s">
        <v>73</v>
      </c>
    </row>
    <row r="4" spans="1:4" x14ac:dyDescent="0.25">
      <c r="A4" s="2" t="s">
        <v>69</v>
      </c>
      <c r="B4" t="s">
        <v>43</v>
      </c>
      <c r="C4" t="s">
        <v>35</v>
      </c>
      <c r="D4" t="s">
        <v>70</v>
      </c>
    </row>
    <row r="5" spans="1:4" x14ac:dyDescent="0.25">
      <c r="A5" s="3" t="s">
        <v>54</v>
      </c>
      <c r="B5" s="5">
        <v>0.93129770992366412</v>
      </c>
      <c r="C5" s="5">
        <v>6.8702290076335881E-2</v>
      </c>
      <c r="D5" s="5">
        <v>1</v>
      </c>
    </row>
    <row r="6" spans="1:4" x14ac:dyDescent="0.25">
      <c r="A6" s="3" t="s">
        <v>61</v>
      </c>
      <c r="B6" s="5">
        <v>0.76923076923076927</v>
      </c>
      <c r="C6" s="5">
        <v>0.23076923076923078</v>
      </c>
      <c r="D6" s="5">
        <v>1</v>
      </c>
    </row>
    <row r="7" spans="1:4" x14ac:dyDescent="0.25">
      <c r="A7" s="3" t="s">
        <v>50</v>
      </c>
      <c r="B7" s="5">
        <v>0.76061776061776065</v>
      </c>
      <c r="C7" s="5">
        <v>0.23938223938223938</v>
      </c>
      <c r="D7" s="5">
        <v>1</v>
      </c>
    </row>
    <row r="8" spans="1:4" x14ac:dyDescent="0.25">
      <c r="A8" s="3" t="s">
        <v>56</v>
      </c>
      <c r="B8" s="5">
        <v>0.9509803921568627</v>
      </c>
      <c r="C8" s="5">
        <v>4.9019607843137254E-2</v>
      </c>
      <c r="D8" s="5">
        <v>1</v>
      </c>
    </row>
    <row r="9" spans="1:4" x14ac:dyDescent="0.25">
      <c r="A9" s="3" t="s">
        <v>53</v>
      </c>
      <c r="B9" s="5">
        <v>0.93103448275862066</v>
      </c>
      <c r="C9" s="5">
        <v>6.8965517241379309E-2</v>
      </c>
      <c r="D9" s="5">
        <v>1</v>
      </c>
    </row>
    <row r="10" spans="1:4" x14ac:dyDescent="0.25">
      <c r="A10" s="3" t="s">
        <v>58</v>
      </c>
      <c r="B10" s="5">
        <v>0.97499999999999998</v>
      </c>
      <c r="C10" s="5">
        <v>2.5000000000000001E-2</v>
      </c>
      <c r="D10" s="5">
        <v>1</v>
      </c>
    </row>
    <row r="11" spans="1:4" x14ac:dyDescent="0.25">
      <c r="A11" s="3" t="s">
        <v>47</v>
      </c>
      <c r="B11" s="5">
        <v>0.83904109589041098</v>
      </c>
      <c r="C11" s="5">
        <v>0.16095890410958905</v>
      </c>
      <c r="D11" s="5">
        <v>1</v>
      </c>
    </row>
    <row r="12" spans="1:4" x14ac:dyDescent="0.25">
      <c r="A12" s="3" t="s">
        <v>40</v>
      </c>
      <c r="B12" s="5">
        <v>0.82515337423312884</v>
      </c>
      <c r="C12" s="5">
        <v>0.17484662576687116</v>
      </c>
      <c r="D12" s="5">
        <v>1</v>
      </c>
    </row>
    <row r="13" spans="1:4" x14ac:dyDescent="0.25">
      <c r="A13" s="3" t="s">
        <v>57</v>
      </c>
      <c r="B13" s="5">
        <v>0.60240963855421692</v>
      </c>
      <c r="C13" s="5">
        <v>0.39759036144578314</v>
      </c>
      <c r="D13" s="5">
        <v>1</v>
      </c>
    </row>
    <row r="14" spans="1:4" x14ac:dyDescent="0.25">
      <c r="A14" s="3" t="s">
        <v>70</v>
      </c>
      <c r="B14" s="5">
        <v>0.83877551020408159</v>
      </c>
      <c r="C14" s="5">
        <v>0.16122448979591836</v>
      </c>
      <c r="D14" s="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C22BF-F504-4F33-9A92-651BD72250E3}">
  <dimension ref="A3:D9"/>
  <sheetViews>
    <sheetView workbookViewId="0">
      <selection activeCell="B6" sqref="B6"/>
    </sheetView>
  </sheetViews>
  <sheetFormatPr defaultRowHeight="15" x14ac:dyDescent="0.25"/>
  <cols>
    <col min="1" max="1" width="25.7109375" bestFit="1" customWidth="1"/>
    <col min="2" max="2" width="16.28515625" bestFit="1" customWidth="1"/>
    <col min="3" max="3" width="4.5703125" bestFit="1" customWidth="1"/>
    <col min="4" max="4" width="11.28515625" bestFit="1" customWidth="1"/>
  </cols>
  <sheetData>
    <row r="3" spans="1:4" x14ac:dyDescent="0.25">
      <c r="A3" s="2" t="s">
        <v>72</v>
      </c>
      <c r="B3" s="2" t="s">
        <v>73</v>
      </c>
    </row>
    <row r="4" spans="1:4" x14ac:dyDescent="0.25">
      <c r="A4" s="2" t="s">
        <v>69</v>
      </c>
      <c r="B4" t="s">
        <v>43</v>
      </c>
      <c r="C4" t="s">
        <v>35</v>
      </c>
      <c r="D4" t="s">
        <v>70</v>
      </c>
    </row>
    <row r="5" spans="1:4" x14ac:dyDescent="0.25">
      <c r="A5" s="3" t="s">
        <v>74</v>
      </c>
      <c r="B5" s="5">
        <v>0.8615611192930781</v>
      </c>
      <c r="C5" s="5">
        <v>0.13843888070692195</v>
      </c>
      <c r="D5" s="5">
        <v>1</v>
      </c>
    </row>
    <row r="6" spans="1:4" x14ac:dyDescent="0.25">
      <c r="A6" s="3" t="s">
        <v>75</v>
      </c>
      <c r="B6" s="5">
        <v>0.89440993788819878</v>
      </c>
      <c r="C6" s="5">
        <v>0.10559006211180125</v>
      </c>
      <c r="D6" s="5">
        <v>1</v>
      </c>
    </row>
    <row r="7" spans="1:4" x14ac:dyDescent="0.25">
      <c r="A7" s="3" t="s">
        <v>76</v>
      </c>
      <c r="B7" s="5">
        <v>0.87412587412587417</v>
      </c>
      <c r="C7" s="5">
        <v>0.12587412587412589</v>
      </c>
      <c r="D7" s="5">
        <v>1</v>
      </c>
    </row>
    <row r="8" spans="1:4" x14ac:dyDescent="0.25">
      <c r="A8" s="3" t="s">
        <v>77</v>
      </c>
      <c r="B8" s="5">
        <v>0.72085889570552142</v>
      </c>
      <c r="C8" s="5">
        <v>0.27914110429447853</v>
      </c>
      <c r="D8" s="5">
        <v>1</v>
      </c>
    </row>
    <row r="9" spans="1:4" x14ac:dyDescent="0.25">
      <c r="A9" s="3" t="s">
        <v>70</v>
      </c>
      <c r="B9" s="5">
        <v>0.83877551020408159</v>
      </c>
      <c r="C9" s="5">
        <v>0.16122448979591836</v>
      </c>
      <c r="D9" s="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4AFA4-B3CA-496E-BE8C-596C10D54793}">
  <dimension ref="A3:D8"/>
  <sheetViews>
    <sheetView workbookViewId="0">
      <selection activeCell="R20" sqref="R20"/>
    </sheetView>
  </sheetViews>
  <sheetFormatPr defaultRowHeight="15" x14ac:dyDescent="0.25"/>
  <cols>
    <col min="1" max="1" width="25.7109375" bestFit="1" customWidth="1"/>
    <col min="2" max="2" width="16.28515625" bestFit="1" customWidth="1"/>
    <col min="3" max="3" width="4.5703125" bestFit="1" customWidth="1"/>
    <col min="4" max="4" width="11.28515625" bestFit="1" customWidth="1"/>
  </cols>
  <sheetData>
    <row r="3" spans="1:4" x14ac:dyDescent="0.25">
      <c r="A3" s="4" t="s">
        <v>72</v>
      </c>
      <c r="B3" s="2" t="s">
        <v>73</v>
      </c>
    </row>
    <row r="4" spans="1:4" x14ac:dyDescent="0.25">
      <c r="A4" s="2" t="s">
        <v>69</v>
      </c>
      <c r="B4" t="s">
        <v>43</v>
      </c>
      <c r="C4" t="s">
        <v>35</v>
      </c>
      <c r="D4" t="s">
        <v>70</v>
      </c>
    </row>
    <row r="5" spans="1:4" x14ac:dyDescent="0.25">
      <c r="A5" s="3" t="s">
        <v>78</v>
      </c>
      <c r="B5" s="5">
        <v>0.89195402298850579</v>
      </c>
      <c r="C5" s="5">
        <v>0.10804597701149425</v>
      </c>
      <c r="D5" s="5">
        <v>1</v>
      </c>
    </row>
    <row r="6" spans="1:4" x14ac:dyDescent="0.25">
      <c r="A6" s="3" t="s">
        <v>79</v>
      </c>
      <c r="B6" s="5">
        <v>0.74723247232472323</v>
      </c>
      <c r="C6" s="5">
        <v>0.25276752767527677</v>
      </c>
      <c r="D6" s="5">
        <v>1</v>
      </c>
    </row>
    <row r="7" spans="1:4" x14ac:dyDescent="0.25">
      <c r="A7" s="3" t="s">
        <v>80</v>
      </c>
      <c r="B7" s="5">
        <v>0.89249492900608518</v>
      </c>
      <c r="C7" s="5">
        <v>0.10750507099391481</v>
      </c>
      <c r="D7" s="5">
        <v>1</v>
      </c>
    </row>
    <row r="8" spans="1:4" x14ac:dyDescent="0.25">
      <c r="A8" s="3" t="s">
        <v>70</v>
      </c>
      <c r="B8" s="5">
        <v>0.83877551020408159</v>
      </c>
      <c r="C8" s="5">
        <v>0.16122448979591836</v>
      </c>
      <c r="D8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F676-E4B6-437F-857E-CC84F86CA58C}">
  <dimension ref="A3:D7"/>
  <sheetViews>
    <sheetView workbookViewId="0">
      <selection activeCell="C6" sqref="C6"/>
    </sheetView>
  </sheetViews>
  <sheetFormatPr defaultRowHeight="15" x14ac:dyDescent="0.25"/>
  <cols>
    <col min="1" max="1" width="25.7109375" bestFit="1" customWidth="1"/>
    <col min="2" max="2" width="16.28515625" bestFit="1" customWidth="1"/>
    <col min="3" max="3" width="4.5703125" bestFit="1" customWidth="1"/>
    <col min="4" max="4" width="11.28515625" bestFit="1" customWidth="1"/>
  </cols>
  <sheetData>
    <row r="3" spans="1:4" x14ac:dyDescent="0.25">
      <c r="A3" s="2" t="s">
        <v>72</v>
      </c>
      <c r="B3" s="2" t="s">
        <v>73</v>
      </c>
    </row>
    <row r="4" spans="1:4" x14ac:dyDescent="0.25">
      <c r="A4" s="2" t="s">
        <v>69</v>
      </c>
      <c r="B4" t="s">
        <v>43</v>
      </c>
      <c r="C4" t="s">
        <v>35</v>
      </c>
      <c r="D4" t="s">
        <v>70</v>
      </c>
    </row>
    <row r="5" spans="1:4" x14ac:dyDescent="0.25">
      <c r="A5" s="3" t="s">
        <v>43</v>
      </c>
      <c r="B5" s="5">
        <v>0.89563567362428842</v>
      </c>
      <c r="C5" s="5">
        <v>0.10436432637571158</v>
      </c>
      <c r="D5" s="5">
        <v>1</v>
      </c>
    </row>
    <row r="6" spans="1:4" x14ac:dyDescent="0.25">
      <c r="A6" s="3" t="s">
        <v>35</v>
      </c>
      <c r="B6" s="5">
        <v>0.69471153846153844</v>
      </c>
      <c r="C6" s="5">
        <v>0.30528846153846156</v>
      </c>
      <c r="D6" s="5">
        <v>1</v>
      </c>
    </row>
    <row r="7" spans="1:4" x14ac:dyDescent="0.25">
      <c r="A7" s="3" t="s">
        <v>70</v>
      </c>
      <c r="B7" s="5">
        <v>0.83877551020408159</v>
      </c>
      <c r="C7" s="5">
        <v>0.16122448979591836</v>
      </c>
      <c r="D7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2C0D3-6EB5-401F-B6D7-CA112034DD1C}">
  <dimension ref="A3:D9"/>
  <sheetViews>
    <sheetView workbookViewId="0">
      <selection activeCell="B7" sqref="B7"/>
    </sheetView>
  </sheetViews>
  <sheetFormatPr defaultRowHeight="15" x14ac:dyDescent="0.25"/>
  <cols>
    <col min="1" max="1" width="25.7109375" bestFit="1" customWidth="1"/>
    <col min="2" max="2" width="16.28515625" bestFit="1" customWidth="1"/>
    <col min="3" max="3" width="4.5703125" bestFit="1" customWidth="1"/>
    <col min="4" max="4" width="11.28515625" bestFit="1" customWidth="1"/>
  </cols>
  <sheetData>
    <row r="3" spans="1:4" x14ac:dyDescent="0.25">
      <c r="A3" s="2" t="s">
        <v>72</v>
      </c>
      <c r="B3" s="2" t="s">
        <v>73</v>
      </c>
    </row>
    <row r="4" spans="1:4" x14ac:dyDescent="0.25">
      <c r="A4" s="2" t="s">
        <v>69</v>
      </c>
      <c r="B4" t="s">
        <v>43</v>
      </c>
      <c r="C4" t="s">
        <v>35</v>
      </c>
      <c r="D4" t="s">
        <v>70</v>
      </c>
    </row>
    <row r="5" spans="1:4" x14ac:dyDescent="0.25">
      <c r="A5" s="3">
        <v>1</v>
      </c>
      <c r="B5" s="5">
        <v>0.77162629757785473</v>
      </c>
      <c r="C5" s="5">
        <v>0.22837370242214533</v>
      </c>
      <c r="D5" s="5">
        <v>1</v>
      </c>
    </row>
    <row r="6" spans="1:4" x14ac:dyDescent="0.25">
      <c r="A6" s="3">
        <v>2</v>
      </c>
      <c r="B6" s="5">
        <v>0.83571428571428574</v>
      </c>
      <c r="C6" s="5">
        <v>0.16428571428571428</v>
      </c>
      <c r="D6" s="5">
        <v>1</v>
      </c>
    </row>
    <row r="7" spans="1:4" x14ac:dyDescent="0.25">
      <c r="A7" s="3">
        <v>3</v>
      </c>
      <c r="B7" s="5">
        <v>0.83484162895927605</v>
      </c>
      <c r="C7" s="5">
        <v>0.16515837104072398</v>
      </c>
      <c r="D7" s="5">
        <v>1</v>
      </c>
    </row>
    <row r="8" spans="1:4" x14ac:dyDescent="0.25">
      <c r="A8" s="3">
        <v>4</v>
      </c>
      <c r="B8" s="5">
        <v>0.88671023965141615</v>
      </c>
      <c r="C8" s="5">
        <v>0.11328976034858387</v>
      </c>
      <c r="D8" s="5">
        <v>1</v>
      </c>
    </row>
    <row r="9" spans="1:4" x14ac:dyDescent="0.25">
      <c r="A9" s="3" t="s">
        <v>70</v>
      </c>
      <c r="B9" s="5">
        <v>0.83877551020408159</v>
      </c>
      <c r="C9" s="5">
        <v>0.16122448979591836</v>
      </c>
      <c r="D9" s="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AF14-75D9-45C1-BEB8-550C3EFB92D9}">
  <dimension ref="A3:D9"/>
  <sheetViews>
    <sheetView workbookViewId="0">
      <selection activeCell="A3" sqref="A3"/>
    </sheetView>
  </sheetViews>
  <sheetFormatPr defaultRowHeight="15" x14ac:dyDescent="0.25"/>
  <cols>
    <col min="1" max="1" width="24.140625" bestFit="1" customWidth="1"/>
    <col min="2" max="2" width="16.28515625" bestFit="1" customWidth="1"/>
    <col min="3" max="3" width="4.5703125" bestFit="1" customWidth="1"/>
    <col min="4" max="4" width="11.28515625" bestFit="1" customWidth="1"/>
  </cols>
  <sheetData>
    <row r="3" spans="1:4" x14ac:dyDescent="0.25">
      <c r="A3" s="2" t="s">
        <v>81</v>
      </c>
      <c r="B3" s="2" t="s">
        <v>73</v>
      </c>
    </row>
    <row r="4" spans="1:4" x14ac:dyDescent="0.25">
      <c r="A4" s="2" t="s">
        <v>69</v>
      </c>
      <c r="B4" t="s">
        <v>43</v>
      </c>
      <c r="C4" t="s">
        <v>35</v>
      </c>
      <c r="D4" t="s">
        <v>70</v>
      </c>
    </row>
    <row r="5" spans="1:4" x14ac:dyDescent="0.25">
      <c r="A5" s="3">
        <v>1</v>
      </c>
      <c r="B5" s="5">
        <v>0.66521648036086223</v>
      </c>
      <c r="C5" s="5">
        <v>0.33478351963913777</v>
      </c>
      <c r="D5" s="5">
        <v>1</v>
      </c>
    </row>
    <row r="6" spans="1:4" x14ac:dyDescent="0.25">
      <c r="A6" s="3">
        <v>2</v>
      </c>
      <c r="B6" s="5">
        <v>0.84572100135931128</v>
      </c>
      <c r="C6" s="5">
        <v>0.15427899864068872</v>
      </c>
      <c r="D6" s="5">
        <v>1</v>
      </c>
    </row>
    <row r="7" spans="1:4" x14ac:dyDescent="0.25">
      <c r="A7" s="3">
        <v>3</v>
      </c>
      <c r="B7" s="5">
        <v>0.85757463891837016</v>
      </c>
      <c r="C7" s="5">
        <v>0.14242536108162981</v>
      </c>
      <c r="D7" s="5">
        <v>1</v>
      </c>
    </row>
    <row r="8" spans="1:4" x14ac:dyDescent="0.25">
      <c r="A8" s="3">
        <v>4</v>
      </c>
      <c r="B8" s="5">
        <v>0.82619316394322406</v>
      </c>
      <c r="C8" s="5">
        <v>0.17380683605677591</v>
      </c>
      <c r="D8" s="5">
        <v>1</v>
      </c>
    </row>
    <row r="9" spans="1:4" x14ac:dyDescent="0.25">
      <c r="A9" s="3" t="s">
        <v>70</v>
      </c>
      <c r="B9" s="5">
        <v>0.84105958506576606</v>
      </c>
      <c r="C9" s="5">
        <v>0.15894041493423394</v>
      </c>
      <c r="D9" s="5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BE374-C310-4CC6-8A33-88C57AFA2B35}">
  <dimension ref="A3:D9"/>
  <sheetViews>
    <sheetView workbookViewId="0">
      <selection activeCell="G4" sqref="G4"/>
    </sheetView>
  </sheetViews>
  <sheetFormatPr defaultRowHeight="15" x14ac:dyDescent="0.25"/>
  <cols>
    <col min="1" max="1" width="25.7109375" bestFit="1" customWidth="1"/>
    <col min="2" max="2" width="16.28515625" bestFit="1" customWidth="1"/>
    <col min="3" max="3" width="4.5703125" bestFit="1" customWidth="1"/>
    <col min="4" max="4" width="11.28515625" bestFit="1" customWidth="1"/>
  </cols>
  <sheetData>
    <row r="3" spans="1:4" x14ac:dyDescent="0.25">
      <c r="A3" s="2" t="s">
        <v>72</v>
      </c>
      <c r="B3" s="2" t="s">
        <v>73</v>
      </c>
    </row>
    <row r="4" spans="1:4" x14ac:dyDescent="0.25">
      <c r="A4" s="2" t="s">
        <v>69</v>
      </c>
      <c r="B4" t="s">
        <v>43</v>
      </c>
      <c r="C4" t="s">
        <v>35</v>
      </c>
      <c r="D4" t="s">
        <v>70</v>
      </c>
    </row>
    <row r="5" spans="1:4" x14ac:dyDescent="0.25">
      <c r="A5" s="3" t="s">
        <v>83</v>
      </c>
      <c r="B5" s="5">
        <v>0.65116279069767447</v>
      </c>
      <c r="C5" s="5">
        <v>0.34883720930232559</v>
      </c>
      <c r="D5" s="5">
        <v>1</v>
      </c>
    </row>
    <row r="6" spans="1:4" x14ac:dyDescent="0.25">
      <c r="A6" s="3" t="s">
        <v>84</v>
      </c>
      <c r="B6" s="5">
        <v>0.91869918699186992</v>
      </c>
      <c r="C6" s="5">
        <v>8.1300813008130079E-2</v>
      </c>
      <c r="D6" s="5">
        <v>1</v>
      </c>
    </row>
    <row r="7" spans="1:4" x14ac:dyDescent="0.25">
      <c r="A7" s="3" t="s">
        <v>85</v>
      </c>
      <c r="B7" s="5">
        <v>0.84491978609625673</v>
      </c>
      <c r="C7" s="5">
        <v>0.15508021390374332</v>
      </c>
      <c r="D7" s="5">
        <v>1</v>
      </c>
    </row>
    <row r="8" spans="1:4" x14ac:dyDescent="0.25">
      <c r="A8" s="3" t="s">
        <v>86</v>
      </c>
      <c r="B8" s="5">
        <v>0.8772321428571429</v>
      </c>
      <c r="C8" s="5">
        <v>0.12276785714285714</v>
      </c>
      <c r="D8" s="5">
        <v>1</v>
      </c>
    </row>
    <row r="9" spans="1:4" x14ac:dyDescent="0.25">
      <c r="A9" s="3" t="s">
        <v>70</v>
      </c>
      <c r="B9" s="5">
        <v>0.83877551020408159</v>
      </c>
      <c r="C9" s="5">
        <v>0.16122448979591836</v>
      </c>
      <c r="D9" s="5">
        <v>1</v>
      </c>
    </row>
  </sheetData>
  <pageMargins left="0.7" right="0.7" top="0.75" bottom="0.75" header="0.3" footer="0.3"/>
  <pageSetup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E10CB-0A67-4708-BCEC-A12AC315C8AE}">
  <dimension ref="A3:K10"/>
  <sheetViews>
    <sheetView workbookViewId="0">
      <selection activeCell="N20" sqref="N20"/>
    </sheetView>
  </sheetViews>
  <sheetFormatPr defaultRowHeight="15" x14ac:dyDescent="0.25"/>
  <cols>
    <col min="1" max="1" width="25.7109375" bestFit="1" customWidth="1"/>
    <col min="2" max="2" width="16.5703125" bestFit="1" customWidth="1"/>
    <col min="3" max="3" width="4.140625" bestFit="1" customWidth="1"/>
    <col min="4" max="4" width="9.85546875" bestFit="1" customWidth="1"/>
    <col min="5" max="5" width="6.42578125" bestFit="1" customWidth="1"/>
    <col min="6" max="6" width="4.5703125" bestFit="1" customWidth="1"/>
    <col min="7" max="7" width="9.42578125" bestFit="1" customWidth="1"/>
    <col min="8" max="8" width="10.42578125" bestFit="1" customWidth="1"/>
    <col min="9" max="9" width="4.140625" bestFit="1" customWidth="1"/>
    <col min="10" max="10" width="13.5703125" bestFit="1" customWidth="1"/>
    <col min="11" max="11" width="11.28515625" bestFit="1" customWidth="1"/>
  </cols>
  <sheetData>
    <row r="3" spans="1:11" x14ac:dyDescent="0.25">
      <c r="A3" s="2" t="s">
        <v>72</v>
      </c>
      <c r="B3" s="2" t="s">
        <v>68</v>
      </c>
    </row>
    <row r="4" spans="1:11" x14ac:dyDescent="0.25">
      <c r="B4" t="s">
        <v>78</v>
      </c>
      <c r="D4" t="s">
        <v>87</v>
      </c>
      <c r="E4" t="s">
        <v>79</v>
      </c>
      <c r="G4" t="s">
        <v>88</v>
      </c>
      <c r="H4" t="s">
        <v>80</v>
      </c>
      <c r="J4" t="s">
        <v>89</v>
      </c>
      <c r="K4" t="s">
        <v>70</v>
      </c>
    </row>
    <row r="5" spans="1:11" x14ac:dyDescent="0.25">
      <c r="A5" s="2" t="s">
        <v>67</v>
      </c>
      <c r="B5" t="s">
        <v>43</v>
      </c>
      <c r="C5" t="s">
        <v>35</v>
      </c>
      <c r="E5" t="s">
        <v>43</v>
      </c>
      <c r="F5" t="s">
        <v>35</v>
      </c>
      <c r="H5" t="s">
        <v>43</v>
      </c>
      <c r="I5" t="s">
        <v>35</v>
      </c>
    </row>
    <row r="6" spans="1:11" x14ac:dyDescent="0.25">
      <c r="A6" s="3" t="s">
        <v>74</v>
      </c>
      <c r="B6" s="5">
        <v>0.22238586156111928</v>
      </c>
      <c r="C6" s="5">
        <v>2.6509572901325478E-2</v>
      </c>
      <c r="D6" s="5">
        <v>0.24889543446244478</v>
      </c>
      <c r="E6" s="5">
        <v>0.27540500736377027</v>
      </c>
      <c r="F6" s="5">
        <v>6.774668630338733E-2</v>
      </c>
      <c r="G6" s="5">
        <v>0.34315169366715759</v>
      </c>
      <c r="H6" s="5">
        <v>0.3637702503681885</v>
      </c>
      <c r="I6" s="5">
        <v>4.4182621502209134E-2</v>
      </c>
      <c r="J6" s="5">
        <v>0.40795287187039764</v>
      </c>
      <c r="K6" s="5">
        <v>1</v>
      </c>
    </row>
    <row r="7" spans="1:11" x14ac:dyDescent="0.25">
      <c r="A7" s="3" t="s">
        <v>75</v>
      </c>
      <c r="B7" s="5">
        <v>0.43478260869565216</v>
      </c>
      <c r="C7" s="5">
        <v>4.3478260869565216E-2</v>
      </c>
      <c r="D7" s="5">
        <v>0.47826086956521741</v>
      </c>
      <c r="E7" s="5">
        <v>0.17701863354037267</v>
      </c>
      <c r="F7" s="5">
        <v>3.4161490683229816E-2</v>
      </c>
      <c r="G7" s="5">
        <v>0.21118012422360249</v>
      </c>
      <c r="H7" s="5">
        <v>0.28260869565217389</v>
      </c>
      <c r="I7" s="5">
        <v>2.7950310559006212E-2</v>
      </c>
      <c r="J7" s="5">
        <v>0.3105590062111801</v>
      </c>
      <c r="K7" s="5">
        <v>1</v>
      </c>
    </row>
    <row r="8" spans="1:11" x14ac:dyDescent="0.25">
      <c r="A8" s="3" t="s">
        <v>76</v>
      </c>
      <c r="B8" s="5">
        <v>0.55944055944055948</v>
      </c>
      <c r="C8" s="5">
        <v>6.9930069930069935E-2</v>
      </c>
      <c r="D8" s="5">
        <v>0.62937062937062938</v>
      </c>
      <c r="E8" s="5">
        <v>0.13986013986013987</v>
      </c>
      <c r="F8" s="5">
        <v>3.4965034965034968E-2</v>
      </c>
      <c r="G8" s="5">
        <v>0.17482517482517482</v>
      </c>
      <c r="H8" s="5">
        <v>0.17482517482517482</v>
      </c>
      <c r="I8" s="5">
        <v>2.097902097902098E-2</v>
      </c>
      <c r="J8" s="5">
        <v>0.19580419580419581</v>
      </c>
      <c r="K8" s="5">
        <v>1</v>
      </c>
    </row>
    <row r="9" spans="1:11" x14ac:dyDescent="0.25">
      <c r="A9" s="3" t="s">
        <v>77</v>
      </c>
      <c r="B9" s="5">
        <v>5.2147239263803678E-2</v>
      </c>
      <c r="C9" s="5">
        <v>1.5337423312883436E-2</v>
      </c>
      <c r="D9" s="5">
        <v>6.7484662576687116E-2</v>
      </c>
      <c r="E9" s="5">
        <v>0.43251533742331288</v>
      </c>
      <c r="F9" s="5">
        <v>0.23006134969325154</v>
      </c>
      <c r="G9" s="5">
        <v>0.66257668711656437</v>
      </c>
      <c r="H9" s="5">
        <v>0.2361963190184049</v>
      </c>
      <c r="I9" s="5">
        <v>3.3742331288343558E-2</v>
      </c>
      <c r="J9" s="5">
        <v>0.26993865030674846</v>
      </c>
      <c r="K9" s="5">
        <v>1</v>
      </c>
    </row>
    <row r="10" spans="1:11" x14ac:dyDescent="0.25">
      <c r="A10" s="3" t="s">
        <v>70</v>
      </c>
      <c r="B10" s="5">
        <v>0.2639455782312925</v>
      </c>
      <c r="C10" s="5">
        <v>3.1972789115646258E-2</v>
      </c>
      <c r="D10" s="5">
        <v>0.29591836734693877</v>
      </c>
      <c r="E10" s="5">
        <v>0.27551020408163263</v>
      </c>
      <c r="F10" s="5">
        <v>9.3197278911564624E-2</v>
      </c>
      <c r="G10" s="5">
        <v>0.36870748299319728</v>
      </c>
      <c r="H10" s="5">
        <v>0.29931972789115646</v>
      </c>
      <c r="I10" s="5">
        <v>3.6054421768707483E-2</v>
      </c>
      <c r="J10" s="5">
        <v>0.33537414965986395</v>
      </c>
      <c r="K10" s="5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3D48B-9988-485B-8496-FA64E5F7EF13}">
  <dimension ref="A3:J10"/>
  <sheetViews>
    <sheetView workbookViewId="0">
      <selection activeCell="H9" sqref="H9"/>
    </sheetView>
  </sheetViews>
  <sheetFormatPr defaultRowHeight="15" x14ac:dyDescent="0.25"/>
  <cols>
    <col min="1" max="1" width="25.7109375" bestFit="1" customWidth="1"/>
    <col min="2" max="2" width="16.28515625" bestFit="1" customWidth="1"/>
    <col min="3" max="3" width="4.5703125" bestFit="1" customWidth="1"/>
    <col min="4" max="4" width="11.140625" bestFit="1" customWidth="1"/>
    <col min="5" max="5" width="4.140625" bestFit="1" customWidth="1"/>
    <col min="6" max="6" width="10.85546875" bestFit="1" customWidth="1"/>
    <col min="7" max="7" width="4.5703125" bestFit="1" customWidth="1"/>
    <col min="8" max="8" width="11.85546875" bestFit="1" customWidth="1"/>
    <col min="9" max="9" width="4.140625" bestFit="1" customWidth="1"/>
    <col min="10" max="10" width="11.28515625" bestFit="1" customWidth="1"/>
  </cols>
  <sheetData>
    <row r="3" spans="1:10" x14ac:dyDescent="0.25">
      <c r="A3" s="2" t="s">
        <v>72</v>
      </c>
      <c r="B3" s="2" t="s">
        <v>82</v>
      </c>
    </row>
    <row r="4" spans="1:10" x14ac:dyDescent="0.25">
      <c r="B4" t="s">
        <v>83</v>
      </c>
      <c r="D4" t="s">
        <v>84</v>
      </c>
      <c r="F4" t="s">
        <v>85</v>
      </c>
      <c r="H4" t="s">
        <v>86</v>
      </c>
      <c r="J4" t="s">
        <v>70</v>
      </c>
    </row>
    <row r="5" spans="1:10" x14ac:dyDescent="0.25">
      <c r="A5" s="2" t="s">
        <v>67</v>
      </c>
      <c r="B5" t="s">
        <v>43</v>
      </c>
      <c r="C5" t="s">
        <v>35</v>
      </c>
      <c r="D5" t="s">
        <v>43</v>
      </c>
      <c r="E5" t="s">
        <v>35</v>
      </c>
      <c r="F5" t="s">
        <v>43</v>
      </c>
      <c r="G5" t="s">
        <v>35</v>
      </c>
      <c r="H5" t="s">
        <v>43</v>
      </c>
      <c r="I5" t="s">
        <v>35</v>
      </c>
    </row>
    <row r="6" spans="1:10" x14ac:dyDescent="0.25">
      <c r="A6" s="3" t="s">
        <v>74</v>
      </c>
      <c r="B6" s="5">
        <v>8.98379970544919E-2</v>
      </c>
      <c r="C6" s="5">
        <v>3.8291605301914583E-2</v>
      </c>
      <c r="D6" s="5">
        <v>0.17083946980854198</v>
      </c>
      <c r="E6" s="5">
        <v>1.3254786450662739E-2</v>
      </c>
      <c r="F6" s="5">
        <v>0.29160530191458028</v>
      </c>
      <c r="G6" s="5">
        <v>5.7437407952871868E-2</v>
      </c>
      <c r="H6" s="5">
        <v>0.30927835051546393</v>
      </c>
      <c r="I6" s="5">
        <v>2.9455081001472753E-2</v>
      </c>
      <c r="J6" s="5">
        <v>1</v>
      </c>
    </row>
    <row r="7" spans="1:10" x14ac:dyDescent="0.25">
      <c r="A7" s="3" t="s">
        <v>75</v>
      </c>
      <c r="B7" s="5">
        <v>0.10559006211180125</v>
      </c>
      <c r="C7" s="5">
        <v>1.8633540372670808E-2</v>
      </c>
      <c r="D7" s="5">
        <v>0.24223602484472051</v>
      </c>
      <c r="E7" s="5">
        <v>1.5527950310559006E-2</v>
      </c>
      <c r="F7" s="5">
        <v>0.30745341614906835</v>
      </c>
      <c r="G7" s="5">
        <v>3.1055900621118012E-2</v>
      </c>
      <c r="H7" s="5">
        <v>0.2391304347826087</v>
      </c>
      <c r="I7" s="5">
        <v>4.0372670807453416E-2</v>
      </c>
      <c r="J7" s="5">
        <v>1</v>
      </c>
    </row>
    <row r="8" spans="1:10" x14ac:dyDescent="0.25">
      <c r="A8" s="3" t="s">
        <v>76</v>
      </c>
      <c r="B8" s="5">
        <v>8.3916083916083919E-2</v>
      </c>
      <c r="C8" s="5">
        <v>1.3986013986013986E-2</v>
      </c>
      <c r="D8" s="5">
        <v>0.20979020979020979</v>
      </c>
      <c r="E8" s="5">
        <v>3.4965034965034968E-2</v>
      </c>
      <c r="F8" s="5">
        <v>0.33566433566433568</v>
      </c>
      <c r="G8" s="5">
        <v>3.4965034965034968E-2</v>
      </c>
      <c r="H8" s="5">
        <v>0.24475524475524477</v>
      </c>
      <c r="I8" s="5">
        <v>4.195804195804196E-2</v>
      </c>
      <c r="J8" s="5">
        <v>1</v>
      </c>
    </row>
    <row r="9" spans="1:10" x14ac:dyDescent="0.25">
      <c r="A9" s="3" t="s">
        <v>77</v>
      </c>
      <c r="B9" s="5">
        <v>0.10122699386503067</v>
      </c>
      <c r="C9" s="5">
        <v>0.12576687116564417</v>
      </c>
      <c r="D9" s="5">
        <v>6.1349693251533744E-3</v>
      </c>
      <c r="E9" s="5">
        <v>3.0674846625766872E-3</v>
      </c>
      <c r="F9" s="5">
        <v>0.39570552147239263</v>
      </c>
      <c r="G9" s="5">
        <v>0.10122699386503067</v>
      </c>
      <c r="H9" s="5">
        <v>0.21779141104294478</v>
      </c>
      <c r="I9" s="5">
        <v>4.9079754601226995E-2</v>
      </c>
      <c r="J9" s="5">
        <v>1</v>
      </c>
    </row>
    <row r="10" spans="1:10" x14ac:dyDescent="0.25">
      <c r="A10" s="3" t="s">
        <v>70</v>
      </c>
      <c r="B10" s="5">
        <v>9.5238095238095233E-2</v>
      </c>
      <c r="C10" s="5">
        <v>5.1020408163265307E-2</v>
      </c>
      <c r="D10" s="5">
        <v>0.15374149659863945</v>
      </c>
      <c r="E10" s="5">
        <v>1.3605442176870748E-2</v>
      </c>
      <c r="F10" s="5">
        <v>0.32244897959183672</v>
      </c>
      <c r="G10" s="5">
        <v>5.9183673469387757E-2</v>
      </c>
      <c r="H10" s="5">
        <v>0.26734693877551019</v>
      </c>
      <c r="I10" s="5">
        <v>3.7414965986394558E-2</v>
      </c>
      <c r="J10" s="5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B1D27-2307-485D-94A5-ACF656E7E00A}">
  <dimension ref="A3:F9"/>
  <sheetViews>
    <sheetView workbookViewId="0">
      <selection activeCell="E7" sqref="E7"/>
    </sheetView>
  </sheetViews>
  <sheetFormatPr defaultRowHeight="15" x14ac:dyDescent="0.25"/>
  <cols>
    <col min="1" max="1" width="25.7109375" bestFit="1" customWidth="1"/>
    <col min="2" max="2" width="16.28515625" bestFit="1" customWidth="1"/>
    <col min="3" max="3" width="4.5703125" bestFit="1" customWidth="1"/>
    <col min="4" max="4" width="6" bestFit="1" customWidth="1"/>
    <col min="5" max="5" width="4.5703125" bestFit="1" customWidth="1"/>
    <col min="6" max="6" width="11.28515625" bestFit="1" customWidth="1"/>
  </cols>
  <sheetData>
    <row r="3" spans="1:6" x14ac:dyDescent="0.25">
      <c r="A3" s="2" t="s">
        <v>72</v>
      </c>
      <c r="B3" s="2" t="s">
        <v>90</v>
      </c>
    </row>
    <row r="4" spans="1:6" x14ac:dyDescent="0.25">
      <c r="B4" t="s">
        <v>43</v>
      </c>
      <c r="D4" t="s">
        <v>35</v>
      </c>
      <c r="F4" t="s">
        <v>70</v>
      </c>
    </row>
    <row r="5" spans="1:6" x14ac:dyDescent="0.25">
      <c r="A5" s="2" t="s">
        <v>68</v>
      </c>
      <c r="B5" t="s">
        <v>43</v>
      </c>
      <c r="C5" t="s">
        <v>35</v>
      </c>
      <c r="D5" t="s">
        <v>43</v>
      </c>
      <c r="E5" t="s">
        <v>35</v>
      </c>
    </row>
    <row r="6" spans="1:6" x14ac:dyDescent="0.25">
      <c r="A6" s="3" t="s">
        <v>78</v>
      </c>
      <c r="B6" s="5">
        <v>0.65517241379310343</v>
      </c>
      <c r="C6" s="5">
        <v>5.9770114942528735E-2</v>
      </c>
      <c r="D6" s="5">
        <v>0.23678160919540231</v>
      </c>
      <c r="E6" s="5">
        <v>4.8275862068965517E-2</v>
      </c>
      <c r="F6" s="5">
        <v>1</v>
      </c>
    </row>
    <row r="7" spans="1:6" x14ac:dyDescent="0.25">
      <c r="A7" s="3" t="s">
        <v>79</v>
      </c>
      <c r="B7" s="5">
        <v>0.6162361623616236</v>
      </c>
      <c r="C7" s="5">
        <v>0.10516605166051661</v>
      </c>
      <c r="D7" s="5">
        <v>0.13099630996309963</v>
      </c>
      <c r="E7" s="5">
        <v>0.14760147601476015</v>
      </c>
      <c r="F7" s="5">
        <v>1</v>
      </c>
    </row>
    <row r="8" spans="1:6" x14ac:dyDescent="0.25">
      <c r="A8" s="3" t="s">
        <v>80</v>
      </c>
      <c r="B8" s="5">
        <v>0.65922920892494929</v>
      </c>
      <c r="C8" s="5">
        <v>5.4766734279918863E-2</v>
      </c>
      <c r="D8" s="5">
        <v>0.23326572008113591</v>
      </c>
      <c r="E8" s="5">
        <v>5.2738336713995942E-2</v>
      </c>
      <c r="F8" s="5">
        <v>1</v>
      </c>
    </row>
    <row r="9" spans="1:6" x14ac:dyDescent="0.25">
      <c r="A9" s="3" t="s">
        <v>70</v>
      </c>
      <c r="B9" s="5">
        <v>0.64217687074829932</v>
      </c>
      <c r="C9" s="5">
        <v>7.4829931972789115E-2</v>
      </c>
      <c r="D9" s="5">
        <v>0.19659863945578232</v>
      </c>
      <c r="E9" s="5">
        <v>8.6394557823129256E-2</v>
      </c>
      <c r="F9" s="5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461B6-404F-40E9-ACFD-D1D583E7D702}">
  <dimension ref="A3:N9"/>
  <sheetViews>
    <sheetView workbookViewId="0">
      <selection activeCell="I7" sqref="I7"/>
    </sheetView>
  </sheetViews>
  <sheetFormatPr defaultRowHeight="15" x14ac:dyDescent="0.25"/>
  <cols>
    <col min="1" max="1" width="25.7109375" bestFit="1" customWidth="1"/>
    <col min="2" max="2" width="16.28515625" bestFit="1" customWidth="1"/>
    <col min="3" max="3" width="4.140625" bestFit="1" customWidth="1"/>
    <col min="4" max="4" width="6.85546875" bestFit="1" customWidth="1"/>
    <col min="5" max="5" width="4.5703125" bestFit="1" customWidth="1"/>
    <col min="6" max="6" width="4.140625" bestFit="1" customWidth="1"/>
    <col min="7" max="7" width="6.85546875" bestFit="1" customWidth="1"/>
    <col min="8" max="9" width="4.5703125" bestFit="1" customWidth="1"/>
    <col min="10" max="10" width="6.85546875" bestFit="1" customWidth="1"/>
    <col min="11" max="11" width="4.5703125" bestFit="1" customWidth="1"/>
    <col min="12" max="12" width="4.140625" bestFit="1" customWidth="1"/>
    <col min="13" max="13" width="6.85546875" bestFit="1" customWidth="1"/>
    <col min="14" max="14" width="11.28515625" bestFit="1" customWidth="1"/>
  </cols>
  <sheetData>
    <row r="3" spans="1:14" x14ac:dyDescent="0.25">
      <c r="A3" s="2" t="s">
        <v>72</v>
      </c>
      <c r="B3" s="2" t="s">
        <v>95</v>
      </c>
    </row>
    <row r="4" spans="1:14" x14ac:dyDescent="0.25">
      <c r="B4">
        <v>1</v>
      </c>
      <c r="D4" t="s">
        <v>91</v>
      </c>
      <c r="E4">
        <v>2</v>
      </c>
      <c r="G4" t="s">
        <v>92</v>
      </c>
      <c r="H4">
        <v>3</v>
      </c>
      <c r="J4" t="s">
        <v>93</v>
      </c>
      <c r="K4">
        <v>4</v>
      </c>
      <c r="M4" t="s">
        <v>94</v>
      </c>
      <c r="N4" t="s">
        <v>70</v>
      </c>
    </row>
    <row r="5" spans="1:14" x14ac:dyDescent="0.25">
      <c r="A5" s="2" t="s">
        <v>68</v>
      </c>
      <c r="B5" t="s">
        <v>43</v>
      </c>
      <c r="C5" t="s">
        <v>35</v>
      </c>
      <c r="E5" t="s">
        <v>43</v>
      </c>
      <c r="F5" t="s">
        <v>35</v>
      </c>
      <c r="H5" t="s">
        <v>43</v>
      </c>
      <c r="I5" t="s">
        <v>35</v>
      </c>
      <c r="K5" t="s">
        <v>43</v>
      </c>
      <c r="L5" t="s">
        <v>35</v>
      </c>
    </row>
    <row r="6" spans="1:14" x14ac:dyDescent="0.25">
      <c r="A6" s="3" t="s">
        <v>78</v>
      </c>
      <c r="B6" s="5">
        <v>3.6781609195402298E-2</v>
      </c>
      <c r="C6" s="5">
        <v>6.8965517241379309E-3</v>
      </c>
      <c r="D6" s="5">
        <v>4.3678160919540229E-2</v>
      </c>
      <c r="E6" s="5">
        <v>0.20919540229885059</v>
      </c>
      <c r="F6" s="5">
        <v>2.9885057471264367E-2</v>
      </c>
      <c r="G6" s="5">
        <v>0.23908045977011494</v>
      </c>
      <c r="H6" s="5">
        <v>0.54482758620689653</v>
      </c>
      <c r="I6" s="5">
        <v>6.2068965517241378E-2</v>
      </c>
      <c r="J6" s="5">
        <v>0.60689655172413792</v>
      </c>
      <c r="K6" s="5">
        <v>0.10114942528735632</v>
      </c>
      <c r="L6" s="5">
        <v>9.1954022988505746E-3</v>
      </c>
      <c r="M6" s="5">
        <v>0.1103448275862069</v>
      </c>
      <c r="N6" s="5">
        <v>1</v>
      </c>
    </row>
    <row r="7" spans="1:14" x14ac:dyDescent="0.25">
      <c r="A7" s="3" t="s">
        <v>79</v>
      </c>
      <c r="B7" s="5">
        <v>3.5055350553505532E-2</v>
      </c>
      <c r="C7" s="5">
        <v>2.9520295202952029E-2</v>
      </c>
      <c r="D7" s="5">
        <v>6.4575645756457564E-2</v>
      </c>
      <c r="E7" s="5">
        <v>0.19741697416974169</v>
      </c>
      <c r="F7" s="5">
        <v>5.719557195571956E-2</v>
      </c>
      <c r="G7" s="5">
        <v>0.25461254612546125</v>
      </c>
      <c r="H7" s="5">
        <v>0.45202952029520294</v>
      </c>
      <c r="I7" s="5">
        <v>0.13284132841328414</v>
      </c>
      <c r="J7" s="5">
        <v>0.58487084870848705</v>
      </c>
      <c r="K7" s="5">
        <v>6.273062730627306E-2</v>
      </c>
      <c r="L7" s="5">
        <v>3.3210332103321034E-2</v>
      </c>
      <c r="M7" s="5">
        <v>9.5940959409594101E-2</v>
      </c>
      <c r="N7" s="5">
        <v>1</v>
      </c>
    </row>
    <row r="8" spans="1:14" x14ac:dyDescent="0.25">
      <c r="A8" s="3" t="s">
        <v>80</v>
      </c>
      <c r="B8" s="5">
        <v>4.0567951318458417E-2</v>
      </c>
      <c r="C8" s="5">
        <v>1.2170385395537525E-2</v>
      </c>
      <c r="D8" s="5">
        <v>5.2738336713995942E-2</v>
      </c>
      <c r="E8" s="5">
        <v>0.17849898580121704</v>
      </c>
      <c r="F8" s="5">
        <v>2.8397565922920892E-2</v>
      </c>
      <c r="G8" s="5">
        <v>0.20689655172413793</v>
      </c>
      <c r="H8" s="5">
        <v>0.57606490872210958</v>
      </c>
      <c r="I8" s="5">
        <v>5.6795131845841784E-2</v>
      </c>
      <c r="J8" s="5">
        <v>0.63286004056795131</v>
      </c>
      <c r="K8" s="5">
        <v>9.7363083164300201E-2</v>
      </c>
      <c r="L8" s="5">
        <v>1.0141987829614604E-2</v>
      </c>
      <c r="M8" s="5">
        <v>0.10750507099391481</v>
      </c>
      <c r="N8" s="5">
        <v>1</v>
      </c>
    </row>
    <row r="9" spans="1:14" x14ac:dyDescent="0.25">
      <c r="A9" s="3" t="s">
        <v>70</v>
      </c>
      <c r="B9" s="5">
        <v>3.7414965986394558E-2</v>
      </c>
      <c r="C9" s="5">
        <v>1.7006802721088437E-2</v>
      </c>
      <c r="D9" s="5">
        <v>5.4421768707482991E-2</v>
      </c>
      <c r="E9" s="5">
        <v>0.19455782312925171</v>
      </c>
      <c r="F9" s="5">
        <v>3.9455782312925167E-2</v>
      </c>
      <c r="G9" s="5">
        <v>0.23401360544217686</v>
      </c>
      <c r="H9" s="5">
        <v>0.52108843537414962</v>
      </c>
      <c r="I9" s="5">
        <v>8.6394557823129256E-2</v>
      </c>
      <c r="J9" s="5">
        <v>0.60748299319727894</v>
      </c>
      <c r="K9" s="5">
        <v>8.5714285714285715E-2</v>
      </c>
      <c r="L9" s="5">
        <v>1.8367346938775512E-2</v>
      </c>
      <c r="M9" s="5">
        <v>0.10408163265306122</v>
      </c>
      <c r="N9" s="5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ABF56-11AE-45FA-9164-EB9A32AE7A92}">
  <dimension ref="A1:AO1471"/>
  <sheetViews>
    <sheetView topLeftCell="A6" zoomScale="80" zoomScaleNormal="80" workbookViewId="0">
      <selection activeCell="Q208" sqref="Q208"/>
    </sheetView>
  </sheetViews>
  <sheetFormatPr defaultRowHeight="15" x14ac:dyDescent="0.25"/>
  <cols>
    <col min="1" max="1" width="6.7109375" bestFit="1" customWidth="1"/>
    <col min="2" max="2" width="10.85546875" bestFit="1" customWidth="1"/>
    <col min="3" max="3" width="17.42578125" bestFit="1" customWidth="1"/>
    <col min="4" max="4" width="11.7109375" bestFit="1" customWidth="1"/>
    <col min="5" max="5" width="23.85546875" bestFit="1" customWidth="1"/>
    <col min="6" max="6" width="21" bestFit="1" customWidth="1"/>
    <col min="7" max="7" width="12" bestFit="1" customWidth="1"/>
    <col min="8" max="8" width="16.85546875" bestFit="1" customWidth="1"/>
    <col min="9" max="9" width="17.5703125" bestFit="1" customWidth="1"/>
    <col min="10" max="10" width="19.7109375" bestFit="1" customWidth="1"/>
    <col min="11" max="11" width="25.42578125" bestFit="1" customWidth="1"/>
    <col min="12" max="12" width="10" bestFit="1" customWidth="1"/>
    <col min="13" max="13" width="13.140625" bestFit="1" customWidth="1"/>
    <col min="14" max="14" width="17.7109375" bestFit="1" customWidth="1"/>
    <col min="15" max="15" width="11" bestFit="1" customWidth="1"/>
    <col min="16" max="16" width="25" bestFit="1" customWidth="1"/>
    <col min="17" max="17" width="16.7109375" bestFit="1" customWidth="1"/>
    <col min="18" max="18" width="15.140625" bestFit="1" customWidth="1"/>
    <col min="19" max="19" width="17.5703125" bestFit="1" customWidth="1"/>
    <col min="20" max="20" width="14.85546875" bestFit="1" customWidth="1"/>
    <col min="21" max="21" width="25" bestFit="1" customWidth="1"/>
    <col min="22" max="22" width="9.5703125" bestFit="1" customWidth="1"/>
    <col min="23" max="23" width="12" bestFit="1" customWidth="1"/>
    <col min="24" max="24" width="19.7109375" bestFit="1" customWidth="1"/>
    <col min="25" max="25" width="20.5703125" bestFit="1" customWidth="1"/>
    <col min="26" max="26" width="25.140625" bestFit="1" customWidth="1"/>
    <col min="27" max="27" width="16.42578125" bestFit="1" customWidth="1"/>
    <col min="28" max="28" width="19" bestFit="1" customWidth="1"/>
    <col min="29" max="29" width="20.42578125" bestFit="1" customWidth="1"/>
    <col min="30" max="30" width="23.42578125" bestFit="1" customWidth="1"/>
    <col min="31" max="31" width="18.42578125" bestFit="1" customWidth="1"/>
    <col min="32" max="32" width="18.5703125" bestFit="1" customWidth="1"/>
    <col min="33" max="33" width="20.85546875" bestFit="1" customWidth="1"/>
    <col min="34" max="34" width="26.140625" bestFit="1" customWidth="1"/>
    <col min="35" max="35" width="24.5703125" bestFit="1" customWidth="1"/>
    <col min="36" max="38" width="24.5703125" customWidth="1"/>
    <col min="40" max="40" width="16.28515625" bestFit="1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67</v>
      </c>
      <c r="AK1" t="s">
        <v>68</v>
      </c>
      <c r="AL1" t="s">
        <v>82</v>
      </c>
    </row>
    <row r="2" spans="1:41" hidden="1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tr">
        <f>IF(HR_Data[[#This Row],[Age]]&lt;30,"Under 30",IF(HR_Data[[#This Row],[Age]]&lt;=40,"30-40",IF(HR_Data[[#This Row],[Age]]&lt;=50,"41-50","50+")))</f>
        <v>41-50</v>
      </c>
      <c r="AK2" t="str">
        <f>IF(HR_Data[[#This Row],[MonthlyIncome]]&lt;4000,"Low",IF(HR_Data[[#This Row],[MonthlyIncome]]&lt;=7000,"Medium","High"))</f>
        <v>Medium</v>
      </c>
      <c r="AL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3" spans="1:41" hidden="1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tr">
        <f>IF(HR_Data[[#This Row],[Age]]&lt;30,"Under 30",IF(HR_Data[[#This Row],[Age]]&lt;=40,"30-40",IF(HR_Data[[#This Row],[Age]]&lt;=50,"41-50","50+")))</f>
        <v>41-50</v>
      </c>
      <c r="AK3" t="str">
        <f>IF(HR_Data[[#This Row],[MonthlyIncome]]&lt;4000,"Low",IF(HR_Data[[#This Row],[MonthlyIncome]]&lt;=7000,"Medium","High"))</f>
        <v>Medium</v>
      </c>
      <c r="AL3" t="str">
        <f>IF(HR_Data[[#This Row],[YearsAtCompany]]&lt;2,"&lt;2 Years",IF(HR_Data[[#This Row],[YearsAtCompany]]&lt;=5,"2-5 Years",IF(HR_Data[[#This Row],[YearsAtCompany]]&lt;=10,"6-10 Years","10+ Years")))</f>
        <v>6-10 Years</v>
      </c>
      <c r="AN3" t="s">
        <v>62</v>
      </c>
      <c r="AO3">
        <f>COUNTA(J:J)-1</f>
        <v>1470</v>
      </c>
    </row>
    <row r="4" spans="1:41" hidden="1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tr">
        <f>IF(HR_Data[[#This Row],[Age]]&lt;30,"Under 30",IF(HR_Data[[#This Row],[Age]]&lt;=40,"30-40",IF(HR_Data[[#This Row],[Age]]&lt;=50,"41-50","50+")))</f>
        <v>30-40</v>
      </c>
      <c r="AK4" t="str">
        <f>IF(HR_Data[[#This Row],[MonthlyIncome]]&lt;4000,"Low",IF(HR_Data[[#This Row],[MonthlyIncome]]&lt;=7000,"Medium","High"))</f>
        <v>Low</v>
      </c>
      <c r="AL4" t="str">
        <f>IF(HR_Data[[#This Row],[YearsAtCompany]]&lt;2,"&lt;2 Years",IF(HR_Data[[#This Row],[YearsAtCompany]]&lt;=5,"2-5 Years",IF(HR_Data[[#This Row],[YearsAtCompany]]&lt;=10,"6-10 Years","10+ Years")))</f>
        <v>&lt;2 Years</v>
      </c>
      <c r="AN4" t="s">
        <v>63</v>
      </c>
      <c r="AO4">
        <f>COUNTIF(B:B,"Yes")</f>
        <v>237</v>
      </c>
    </row>
    <row r="5" spans="1:41" hidden="1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tr">
        <f>IF(HR_Data[[#This Row],[Age]]&lt;30,"Under 30",IF(HR_Data[[#This Row],[Age]]&lt;=40,"30-40",IF(HR_Data[[#This Row],[Age]]&lt;=50,"41-50","50+")))</f>
        <v>30-40</v>
      </c>
      <c r="AK5" t="str">
        <f>IF(HR_Data[[#This Row],[MonthlyIncome]]&lt;4000,"Low",IF(HR_Data[[#This Row],[MonthlyIncome]]&lt;=7000,"Medium","High"))</f>
        <v>Low</v>
      </c>
      <c r="AL5" t="str">
        <f>IF(HR_Data[[#This Row],[YearsAtCompany]]&lt;2,"&lt;2 Years",IF(HR_Data[[#This Row],[YearsAtCompany]]&lt;=5,"2-5 Years",IF(HR_Data[[#This Row],[YearsAtCompany]]&lt;=10,"6-10 Years","10+ Years")))</f>
        <v>6-10 Years</v>
      </c>
      <c r="AN5" t="s">
        <v>64</v>
      </c>
      <c r="AO5" s="1">
        <f>237/1470</f>
        <v>0.16122448979591836</v>
      </c>
    </row>
    <row r="6" spans="1:41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tr">
        <f>IF(HR_Data[[#This Row],[Age]]&lt;30,"Under 30",IF(HR_Data[[#This Row],[Age]]&lt;=40,"30-40",IF(HR_Data[[#This Row],[Age]]&lt;=50,"41-50","50+")))</f>
        <v>Under 30</v>
      </c>
      <c r="AK6" t="str">
        <f>IF(HR_Data[[#This Row],[MonthlyIncome]]&lt;4000,"Low",IF(HR_Data[[#This Row],[MonthlyIncome]]&lt;=7000,"Medium","High"))</f>
        <v>Low</v>
      </c>
      <c r="AL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" spans="1:41" hidden="1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tr">
        <f>IF(HR_Data[[#This Row],[Age]]&lt;30,"Under 30",IF(HR_Data[[#This Row],[Age]]&lt;=40,"30-40",IF(HR_Data[[#This Row],[Age]]&lt;=50,"41-50","50+")))</f>
        <v>30-40</v>
      </c>
      <c r="AK7" t="str">
        <f>IF(HR_Data[[#This Row],[MonthlyIncome]]&lt;4000,"Low",IF(HR_Data[[#This Row],[MonthlyIncome]]&lt;=7000,"Medium","High"))</f>
        <v>Low</v>
      </c>
      <c r="AL7" t="str">
        <f>IF(HR_Data[[#This Row],[YearsAtCompany]]&lt;2,"&lt;2 Years",IF(HR_Data[[#This Row],[YearsAtCompany]]&lt;=5,"2-5 Years",IF(HR_Data[[#This Row],[YearsAtCompany]]&lt;=10,"6-10 Years","10+ Years")))</f>
        <v>6-10 Years</v>
      </c>
      <c r="AN7" t="s">
        <v>65</v>
      </c>
      <c r="AO7">
        <f>AVERAGEIF(B:B, "Yes", S:S)</f>
        <v>4787.0928270042195</v>
      </c>
    </row>
    <row r="8" spans="1:41" hidden="1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tr">
        <f>IF(HR_Data[[#This Row],[Age]]&lt;30,"Under 30",IF(HR_Data[[#This Row],[Age]]&lt;=40,"30-40",IF(HR_Data[[#This Row],[Age]]&lt;=50,"41-50","50+")))</f>
        <v>50+</v>
      </c>
      <c r="AK8" t="str">
        <f>IF(HR_Data[[#This Row],[MonthlyIncome]]&lt;4000,"Low",IF(HR_Data[[#This Row],[MonthlyIncome]]&lt;=7000,"Medium","High"))</f>
        <v>Low</v>
      </c>
      <c r="AL8" t="str">
        <f>IF(HR_Data[[#This Row],[YearsAtCompany]]&lt;2,"&lt;2 Years",IF(HR_Data[[#This Row],[YearsAtCompany]]&lt;=5,"2-5 Years",IF(HR_Data[[#This Row],[YearsAtCompany]]&lt;=10,"6-10 Years","10+ Years")))</f>
        <v>&lt;2 Years</v>
      </c>
      <c r="AN8" t="s">
        <v>66</v>
      </c>
      <c r="AO8">
        <f>AVERAGEIF(B:B, "No", S:S)</f>
        <v>6832.7396593673966</v>
      </c>
    </row>
    <row r="9" spans="1:41" hidden="1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tr">
        <f>IF(HR_Data[[#This Row],[Age]]&lt;30,"Under 30",IF(HR_Data[[#This Row],[Age]]&lt;=40,"30-40",IF(HR_Data[[#This Row],[Age]]&lt;=50,"41-50","50+")))</f>
        <v>30-40</v>
      </c>
      <c r="AK9" t="str">
        <f>IF(HR_Data[[#This Row],[MonthlyIncome]]&lt;4000,"Low",IF(HR_Data[[#This Row],[MonthlyIncome]]&lt;=7000,"Medium","High"))</f>
        <v>Low</v>
      </c>
      <c r="AL9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0" spans="1:41" hidden="1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tr">
        <f>IF(HR_Data[[#This Row],[Age]]&lt;30,"Under 30",IF(HR_Data[[#This Row],[Age]]&lt;=40,"30-40",IF(HR_Data[[#This Row],[Age]]&lt;=50,"41-50","50+")))</f>
        <v>30-40</v>
      </c>
      <c r="AK10" t="str">
        <f>IF(HR_Data[[#This Row],[MonthlyIncome]]&lt;4000,"Low",IF(HR_Data[[#This Row],[MonthlyIncome]]&lt;=7000,"Medium","High"))</f>
        <v>High</v>
      </c>
      <c r="AL1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" spans="1:41" hidden="1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tr">
        <f>IF(HR_Data[[#This Row],[Age]]&lt;30,"Under 30",IF(HR_Data[[#This Row],[Age]]&lt;=40,"30-40",IF(HR_Data[[#This Row],[Age]]&lt;=50,"41-50","50+")))</f>
        <v>30-40</v>
      </c>
      <c r="AK11" t="str">
        <f>IF(HR_Data[[#This Row],[MonthlyIncome]]&lt;4000,"Low",IF(HR_Data[[#This Row],[MonthlyIncome]]&lt;=7000,"Medium","High"))</f>
        <v>Medium</v>
      </c>
      <c r="AL1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2" spans="1:41" hidden="1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tr">
        <f>IF(HR_Data[[#This Row],[Age]]&lt;30,"Under 30",IF(HR_Data[[#This Row],[Age]]&lt;=40,"30-40",IF(HR_Data[[#This Row],[Age]]&lt;=50,"41-50","50+")))</f>
        <v>30-40</v>
      </c>
      <c r="AK12" t="str">
        <f>IF(HR_Data[[#This Row],[MonthlyIncome]]&lt;4000,"Low",IF(HR_Data[[#This Row],[MonthlyIncome]]&lt;=7000,"Medium","High"))</f>
        <v>Low</v>
      </c>
      <c r="AL1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" spans="1:41" hidden="1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tr">
        <f>IF(HR_Data[[#This Row],[Age]]&lt;30,"Under 30",IF(HR_Data[[#This Row],[Age]]&lt;=40,"30-40",IF(HR_Data[[#This Row],[Age]]&lt;=50,"41-50","50+")))</f>
        <v>Under 30</v>
      </c>
      <c r="AK13" t="str">
        <f>IF(HR_Data[[#This Row],[MonthlyIncome]]&lt;4000,"Low",IF(HR_Data[[#This Row],[MonthlyIncome]]&lt;=7000,"Medium","High"))</f>
        <v>Medium</v>
      </c>
      <c r="AL1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4" spans="1:41" hidden="1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tr">
        <f>IF(HR_Data[[#This Row],[Age]]&lt;30,"Under 30",IF(HR_Data[[#This Row],[Age]]&lt;=40,"30-40",IF(HR_Data[[#This Row],[Age]]&lt;=50,"41-50","50+")))</f>
        <v>30-40</v>
      </c>
      <c r="AK14" t="str">
        <f>IF(HR_Data[[#This Row],[MonthlyIncome]]&lt;4000,"Low",IF(HR_Data[[#This Row],[MonthlyIncome]]&lt;=7000,"Medium","High"))</f>
        <v>Low</v>
      </c>
      <c r="AL1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5" spans="1:41" hidden="1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tr">
        <f>IF(HR_Data[[#This Row],[Age]]&lt;30,"Under 30",IF(HR_Data[[#This Row],[Age]]&lt;=40,"30-40",IF(HR_Data[[#This Row],[Age]]&lt;=50,"41-50","50+")))</f>
        <v>30-40</v>
      </c>
      <c r="AK15" t="str">
        <f>IF(HR_Data[[#This Row],[MonthlyIncome]]&lt;4000,"Low",IF(HR_Data[[#This Row],[MonthlyIncome]]&lt;=7000,"Medium","High"))</f>
        <v>Low</v>
      </c>
      <c r="AL1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6" spans="1:41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tr">
        <f>IF(HR_Data[[#This Row],[Age]]&lt;30,"Under 30",IF(HR_Data[[#This Row],[Age]]&lt;=40,"30-40",IF(HR_Data[[#This Row],[Age]]&lt;=50,"41-50","50+")))</f>
        <v>Under 30</v>
      </c>
      <c r="AK16" t="str">
        <f>IF(HR_Data[[#This Row],[MonthlyIncome]]&lt;4000,"Low",IF(HR_Data[[#This Row],[MonthlyIncome]]&lt;=7000,"Medium","High"))</f>
        <v>Low</v>
      </c>
      <c r="AL1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7" spans="1:38" hidden="1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tr">
        <f>IF(HR_Data[[#This Row],[Age]]&lt;30,"Under 30",IF(HR_Data[[#This Row],[Age]]&lt;=40,"30-40",IF(HR_Data[[#This Row],[Age]]&lt;=50,"41-50","50+")))</f>
        <v>Under 30</v>
      </c>
      <c r="AK17" t="str">
        <f>IF(HR_Data[[#This Row],[MonthlyIncome]]&lt;4000,"Low",IF(HR_Data[[#This Row],[MonthlyIncome]]&lt;=7000,"Medium","High"))</f>
        <v>High</v>
      </c>
      <c r="AL1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8" spans="1:38" hidden="1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tr">
        <f>IF(HR_Data[[#This Row],[Age]]&lt;30,"Under 30",IF(HR_Data[[#This Row],[Age]]&lt;=40,"30-40",IF(HR_Data[[#This Row],[Age]]&lt;=50,"41-50","50+")))</f>
        <v>30-40</v>
      </c>
      <c r="AK18" t="str">
        <f>IF(HR_Data[[#This Row],[MonthlyIncome]]&lt;4000,"Low",IF(HR_Data[[#This Row],[MonthlyIncome]]&lt;=7000,"Medium","High"))</f>
        <v>Low</v>
      </c>
      <c r="AL1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9" spans="1:38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tr">
        <f>IF(HR_Data[[#This Row],[Age]]&lt;30,"Under 30",IF(HR_Data[[#This Row],[Age]]&lt;=40,"30-40",IF(HR_Data[[#This Row],[Age]]&lt;=50,"41-50","50+")))</f>
        <v>Under 30</v>
      </c>
      <c r="AK19" t="str">
        <f>IF(HR_Data[[#This Row],[MonthlyIncome]]&lt;4000,"Low",IF(HR_Data[[#This Row],[MonthlyIncome]]&lt;=7000,"Medium","High"))</f>
        <v>Low</v>
      </c>
      <c r="AL19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20" spans="1:38" hidden="1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tr">
        <f>IF(HR_Data[[#This Row],[Age]]&lt;30,"Under 30",IF(HR_Data[[#This Row],[Age]]&lt;=40,"30-40",IF(HR_Data[[#This Row],[Age]]&lt;=50,"41-50","50+")))</f>
        <v>50+</v>
      </c>
      <c r="AK20" t="str">
        <f>IF(HR_Data[[#This Row],[MonthlyIncome]]&lt;4000,"Low",IF(HR_Data[[#This Row],[MonthlyIncome]]&lt;=7000,"Medium","High"))</f>
        <v>High</v>
      </c>
      <c r="AL20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21" spans="1:38" hidden="1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tr">
        <f>IF(HR_Data[[#This Row],[Age]]&lt;30,"Under 30",IF(HR_Data[[#This Row],[Age]]&lt;=40,"30-40",IF(HR_Data[[#This Row],[Age]]&lt;=50,"41-50","50+")))</f>
        <v>30-40</v>
      </c>
      <c r="AK21" t="str">
        <f>IF(HR_Data[[#This Row],[MonthlyIncome]]&lt;4000,"Low",IF(HR_Data[[#This Row],[MonthlyIncome]]&lt;=7000,"Medium","High"))</f>
        <v>Low</v>
      </c>
      <c r="AL2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2" spans="1:38" hidden="1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tr">
        <f>IF(HR_Data[[#This Row],[Age]]&lt;30,"Under 30",IF(HR_Data[[#This Row],[Age]]&lt;=40,"30-40",IF(HR_Data[[#This Row],[Age]]&lt;=50,"41-50","50+")))</f>
        <v>Under 30</v>
      </c>
      <c r="AK22" t="str">
        <f>IF(HR_Data[[#This Row],[MonthlyIncome]]&lt;4000,"Low",IF(HR_Data[[#This Row],[MonthlyIncome]]&lt;=7000,"Medium","High"))</f>
        <v>Medium</v>
      </c>
      <c r="AL2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3" spans="1:38" hidden="1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tr">
        <f>IF(HR_Data[[#This Row],[Age]]&lt;30,"Under 30",IF(HR_Data[[#This Row],[Age]]&lt;=40,"30-40",IF(HR_Data[[#This Row],[Age]]&lt;=50,"41-50","50+")))</f>
        <v>30-40</v>
      </c>
      <c r="AK23" t="str">
        <f>IF(HR_Data[[#This Row],[MonthlyIncome]]&lt;4000,"Low",IF(HR_Data[[#This Row],[MonthlyIncome]]&lt;=7000,"Medium","High"))</f>
        <v>Low</v>
      </c>
      <c r="AL2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4" spans="1:38" hidden="1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tr">
        <f>IF(HR_Data[[#This Row],[Age]]&lt;30,"Under 30",IF(HR_Data[[#This Row],[Age]]&lt;=40,"30-40",IF(HR_Data[[#This Row],[Age]]&lt;=50,"41-50","50+")))</f>
        <v>30-40</v>
      </c>
      <c r="AK24" t="str">
        <f>IF(HR_Data[[#This Row],[MonthlyIncome]]&lt;4000,"Low",IF(HR_Data[[#This Row],[MonthlyIncome]]&lt;=7000,"Medium","High"))</f>
        <v>High</v>
      </c>
      <c r="AL24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25" spans="1:38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tr">
        <f>IF(HR_Data[[#This Row],[Age]]&lt;30,"Under 30",IF(HR_Data[[#This Row],[Age]]&lt;=40,"30-40",IF(HR_Data[[#This Row],[Age]]&lt;=50,"41-50","50+")))</f>
        <v>Under 30</v>
      </c>
      <c r="AK25" t="str">
        <f>IF(HR_Data[[#This Row],[MonthlyIncome]]&lt;4000,"Low",IF(HR_Data[[#This Row],[MonthlyIncome]]&lt;=7000,"Medium","High"))</f>
        <v>Low</v>
      </c>
      <c r="AL25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26" spans="1:38" hidden="1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tr">
        <f>IF(HR_Data[[#This Row],[Age]]&lt;30,"Under 30",IF(HR_Data[[#This Row],[Age]]&lt;=40,"30-40",IF(HR_Data[[#This Row],[Age]]&lt;=50,"41-50","50+")))</f>
        <v>30-40</v>
      </c>
      <c r="AK26" t="str">
        <f>IF(HR_Data[[#This Row],[MonthlyIncome]]&lt;4000,"Low",IF(HR_Data[[#This Row],[MonthlyIncome]]&lt;=7000,"Medium","High"))</f>
        <v>Low</v>
      </c>
      <c r="AL2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7" spans="1:38" hidden="1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tr">
        <f>IF(HR_Data[[#This Row],[Age]]&lt;30,"Under 30",IF(HR_Data[[#This Row],[Age]]&lt;=40,"30-40",IF(HR_Data[[#This Row],[Age]]&lt;=50,"41-50","50+")))</f>
        <v>50+</v>
      </c>
      <c r="AK27" t="str">
        <f>IF(HR_Data[[#This Row],[MonthlyIncome]]&lt;4000,"Low",IF(HR_Data[[#This Row],[MonthlyIncome]]&lt;=7000,"Medium","High"))</f>
        <v>High</v>
      </c>
      <c r="AL27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28" spans="1:38" hidden="1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tr">
        <f>IF(HR_Data[[#This Row],[Age]]&lt;30,"Under 30",IF(HR_Data[[#This Row],[Age]]&lt;=40,"30-40",IF(HR_Data[[#This Row],[Age]]&lt;=50,"41-50","50+")))</f>
        <v>30-40</v>
      </c>
      <c r="AK28" t="str">
        <f>IF(HR_Data[[#This Row],[MonthlyIncome]]&lt;4000,"Low",IF(HR_Data[[#This Row],[MonthlyIncome]]&lt;=7000,"Medium","High"))</f>
        <v>Low</v>
      </c>
      <c r="AL2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29" spans="1:38" hidden="1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tr">
        <f>IF(HR_Data[[#This Row],[Age]]&lt;30,"Under 30",IF(HR_Data[[#This Row],[Age]]&lt;=40,"30-40",IF(HR_Data[[#This Row],[Age]]&lt;=50,"41-50","50+")))</f>
        <v>41-50</v>
      </c>
      <c r="AK29" t="str">
        <f>IF(HR_Data[[#This Row],[MonthlyIncome]]&lt;4000,"Low",IF(HR_Data[[#This Row],[MonthlyIncome]]&lt;=7000,"Medium","High"))</f>
        <v>Medium</v>
      </c>
      <c r="AL29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30" spans="1:38" hidden="1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tr">
        <f>IF(HR_Data[[#This Row],[Age]]&lt;30,"Under 30",IF(HR_Data[[#This Row],[Age]]&lt;=40,"30-40",IF(HR_Data[[#This Row],[Age]]&lt;=50,"41-50","50+")))</f>
        <v>41-50</v>
      </c>
      <c r="AK30" t="str">
        <f>IF(HR_Data[[#This Row],[MonthlyIncome]]&lt;4000,"Low",IF(HR_Data[[#This Row],[MonthlyIncome]]&lt;=7000,"Medium","High"))</f>
        <v>High</v>
      </c>
      <c r="AL30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31" spans="1:38" hidden="1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tr">
        <f>IF(HR_Data[[#This Row],[Age]]&lt;30,"Under 30",IF(HR_Data[[#This Row],[Age]]&lt;=40,"30-40",IF(HR_Data[[#This Row],[Age]]&lt;=50,"41-50","50+")))</f>
        <v>41-50</v>
      </c>
      <c r="AK31" t="str">
        <f>IF(HR_Data[[#This Row],[MonthlyIncome]]&lt;4000,"Low",IF(HR_Data[[#This Row],[MonthlyIncome]]&lt;=7000,"Medium","High"))</f>
        <v>High</v>
      </c>
      <c r="AL3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2" spans="1:38" hidden="1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tr">
        <f>IF(HR_Data[[#This Row],[Age]]&lt;30,"Under 30",IF(HR_Data[[#This Row],[Age]]&lt;=40,"30-40",IF(HR_Data[[#This Row],[Age]]&lt;=50,"41-50","50+")))</f>
        <v>30-40</v>
      </c>
      <c r="AK32" t="str">
        <f>IF(HR_Data[[#This Row],[MonthlyIncome]]&lt;4000,"Low",IF(HR_Data[[#This Row],[MonthlyIncome]]&lt;=7000,"Medium","High"))</f>
        <v>Low</v>
      </c>
      <c r="AL32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33" spans="1:38" hidden="1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tr">
        <f>IF(HR_Data[[#This Row],[Age]]&lt;30,"Under 30",IF(HR_Data[[#This Row],[Age]]&lt;=40,"30-40",IF(HR_Data[[#This Row],[Age]]&lt;=50,"41-50","50+")))</f>
        <v>41-50</v>
      </c>
      <c r="AK33" t="str">
        <f>IF(HR_Data[[#This Row],[MonthlyIncome]]&lt;4000,"Low",IF(HR_Data[[#This Row],[MonthlyIncome]]&lt;=7000,"Medium","High"))</f>
        <v>Medium</v>
      </c>
      <c r="AL3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4" spans="1:38" hidden="1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tr">
        <f>IF(HR_Data[[#This Row],[Age]]&lt;30,"Under 30",IF(HR_Data[[#This Row],[Age]]&lt;=40,"30-40",IF(HR_Data[[#This Row],[Age]]&lt;=50,"41-50","50+")))</f>
        <v>30-40</v>
      </c>
      <c r="AK34" t="str">
        <f>IF(HR_Data[[#This Row],[MonthlyIncome]]&lt;4000,"Low",IF(HR_Data[[#This Row],[MonthlyIncome]]&lt;=7000,"Medium","High"))</f>
        <v>Low</v>
      </c>
      <c r="AL3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35" spans="1:38" hidden="1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tr">
        <f>IF(HR_Data[[#This Row],[Age]]&lt;30,"Under 30",IF(HR_Data[[#This Row],[Age]]&lt;=40,"30-40",IF(HR_Data[[#This Row],[Age]]&lt;=50,"41-50","50+")))</f>
        <v>30-40</v>
      </c>
      <c r="AK35" t="str">
        <f>IF(HR_Data[[#This Row],[MonthlyIncome]]&lt;4000,"Low",IF(HR_Data[[#This Row],[MonthlyIncome]]&lt;=7000,"Medium","High"))</f>
        <v>Low</v>
      </c>
      <c r="AL35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36" spans="1:38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tr">
        <f>IF(HR_Data[[#This Row],[Age]]&lt;30,"Under 30",IF(HR_Data[[#This Row],[Age]]&lt;=40,"30-40",IF(HR_Data[[#This Row],[Age]]&lt;=50,"41-50","50+")))</f>
        <v>Under 30</v>
      </c>
      <c r="AK36" t="str">
        <f>IF(HR_Data[[#This Row],[MonthlyIncome]]&lt;4000,"Low",IF(HR_Data[[#This Row],[MonthlyIncome]]&lt;=7000,"Medium","High"))</f>
        <v>Low</v>
      </c>
      <c r="AL3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7" spans="1:38" hidden="1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tr">
        <f>IF(HR_Data[[#This Row],[Age]]&lt;30,"Under 30",IF(HR_Data[[#This Row],[Age]]&lt;=40,"30-40",IF(HR_Data[[#This Row],[Age]]&lt;=50,"41-50","50+")))</f>
        <v>41-50</v>
      </c>
      <c r="AK37" t="str">
        <f>IF(HR_Data[[#This Row],[MonthlyIncome]]&lt;4000,"Low",IF(HR_Data[[#This Row],[MonthlyIncome]]&lt;=7000,"Medium","High"))</f>
        <v>Low</v>
      </c>
      <c r="AL3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8" spans="1:38" hidden="1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tr">
        <f>IF(HR_Data[[#This Row],[Age]]&lt;30,"Under 30",IF(HR_Data[[#This Row],[Age]]&lt;=40,"30-40",IF(HR_Data[[#This Row],[Age]]&lt;=50,"41-50","50+")))</f>
        <v>41-50</v>
      </c>
      <c r="AK38" t="str">
        <f>IF(HR_Data[[#This Row],[MonthlyIncome]]&lt;4000,"Low",IF(HR_Data[[#This Row],[MonthlyIncome]]&lt;=7000,"Medium","High"))</f>
        <v>Low</v>
      </c>
      <c r="AL3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9" spans="1:38" hidden="1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tr">
        <f>IF(HR_Data[[#This Row],[Age]]&lt;30,"Under 30",IF(HR_Data[[#This Row],[Age]]&lt;=40,"30-40",IF(HR_Data[[#This Row],[Age]]&lt;=50,"41-50","50+")))</f>
        <v>30-40</v>
      </c>
      <c r="AK39" t="str">
        <f>IF(HR_Data[[#This Row],[MonthlyIncome]]&lt;4000,"Low",IF(HR_Data[[#This Row],[MonthlyIncome]]&lt;=7000,"Medium","High"))</f>
        <v>Low</v>
      </c>
      <c r="AL3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0" spans="1:38" hidden="1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tr">
        <f>IF(HR_Data[[#This Row],[Age]]&lt;30,"Under 30",IF(HR_Data[[#This Row],[Age]]&lt;=40,"30-40",IF(HR_Data[[#This Row],[Age]]&lt;=50,"41-50","50+")))</f>
        <v>30-40</v>
      </c>
      <c r="AK40" t="str">
        <f>IF(HR_Data[[#This Row],[MonthlyIncome]]&lt;4000,"Low",IF(HR_Data[[#This Row],[MonthlyIncome]]&lt;=7000,"Medium","High"))</f>
        <v>Low</v>
      </c>
      <c r="AL40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41" spans="1:38" hidden="1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tr">
        <f>IF(HR_Data[[#This Row],[Age]]&lt;30,"Under 30",IF(HR_Data[[#This Row],[Age]]&lt;=40,"30-40",IF(HR_Data[[#This Row],[Age]]&lt;=50,"41-50","50+")))</f>
        <v>30-40</v>
      </c>
      <c r="AK41" t="str">
        <f>IF(HR_Data[[#This Row],[MonthlyIncome]]&lt;4000,"Low",IF(HR_Data[[#This Row],[MonthlyIncome]]&lt;=7000,"Medium","High"))</f>
        <v>Medium</v>
      </c>
      <c r="AL4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2" spans="1:38" hidden="1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tr">
        <f>IF(HR_Data[[#This Row],[Age]]&lt;30,"Under 30",IF(HR_Data[[#This Row],[Age]]&lt;=40,"30-40",IF(HR_Data[[#This Row],[Age]]&lt;=50,"41-50","50+")))</f>
        <v>30-40</v>
      </c>
      <c r="AK42" t="str">
        <f>IF(HR_Data[[#This Row],[MonthlyIncome]]&lt;4000,"Low",IF(HR_Data[[#This Row],[MonthlyIncome]]&lt;=7000,"Medium","High"))</f>
        <v>Low</v>
      </c>
      <c r="AL42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43" spans="1:38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tr">
        <f>IF(HR_Data[[#This Row],[Age]]&lt;30,"Under 30",IF(HR_Data[[#This Row],[Age]]&lt;=40,"30-40",IF(HR_Data[[#This Row],[Age]]&lt;=50,"41-50","50+")))</f>
        <v>Under 30</v>
      </c>
      <c r="AK43" t="str">
        <f>IF(HR_Data[[#This Row],[MonthlyIncome]]&lt;4000,"Low",IF(HR_Data[[#This Row],[MonthlyIncome]]&lt;=7000,"Medium","High"))</f>
        <v>Low</v>
      </c>
      <c r="AL43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44" spans="1:38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tr">
        <f>IF(HR_Data[[#This Row],[Age]]&lt;30,"Under 30",IF(HR_Data[[#This Row],[Age]]&lt;=40,"30-40",IF(HR_Data[[#This Row],[Age]]&lt;=50,"41-50","50+")))</f>
        <v>Under 30</v>
      </c>
      <c r="AK44" t="str">
        <f>IF(HR_Data[[#This Row],[MonthlyIncome]]&lt;4000,"Low",IF(HR_Data[[#This Row],[MonthlyIncome]]&lt;=7000,"Medium","High"))</f>
        <v>Low</v>
      </c>
      <c r="AL44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45" spans="1:38" hidden="1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tr">
        <f>IF(HR_Data[[#This Row],[Age]]&lt;30,"Under 30",IF(HR_Data[[#This Row],[Age]]&lt;=40,"30-40",IF(HR_Data[[#This Row],[Age]]&lt;=50,"41-50","50+")))</f>
        <v>Under 30</v>
      </c>
      <c r="AK45" t="str">
        <f>IF(HR_Data[[#This Row],[MonthlyIncome]]&lt;4000,"Low",IF(HR_Data[[#This Row],[MonthlyIncome]]&lt;=7000,"Medium","High"))</f>
        <v>High</v>
      </c>
      <c r="AL4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6" spans="1:38" hidden="1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tr">
        <f>IF(HR_Data[[#This Row],[Age]]&lt;30,"Under 30",IF(HR_Data[[#This Row],[Age]]&lt;=40,"30-40",IF(HR_Data[[#This Row],[Age]]&lt;=50,"41-50","50+")))</f>
        <v>30-40</v>
      </c>
      <c r="AK46" t="str">
        <f>IF(HR_Data[[#This Row],[MonthlyIncome]]&lt;4000,"Low",IF(HR_Data[[#This Row],[MonthlyIncome]]&lt;=7000,"Medium","High"))</f>
        <v>Medium</v>
      </c>
      <c r="AL46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47" spans="1:38" hidden="1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tr">
        <f>IF(HR_Data[[#This Row],[Age]]&lt;30,"Under 30",IF(HR_Data[[#This Row],[Age]]&lt;=40,"30-40",IF(HR_Data[[#This Row],[Age]]&lt;=50,"41-50","50+")))</f>
        <v>41-50</v>
      </c>
      <c r="AK47" t="str">
        <f>IF(HR_Data[[#This Row],[MonthlyIncome]]&lt;4000,"Low",IF(HR_Data[[#This Row],[MonthlyIncome]]&lt;=7000,"Medium","High"))</f>
        <v>High</v>
      </c>
      <c r="AL47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48" spans="1:38" hidden="1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tr">
        <f>IF(HR_Data[[#This Row],[Age]]&lt;30,"Under 30",IF(HR_Data[[#This Row],[Age]]&lt;=40,"30-40",IF(HR_Data[[#This Row],[Age]]&lt;=50,"41-50","50+")))</f>
        <v>30-40</v>
      </c>
      <c r="AK48" t="str">
        <f>IF(HR_Data[[#This Row],[MonthlyIncome]]&lt;4000,"Low",IF(HR_Data[[#This Row],[MonthlyIncome]]&lt;=7000,"Medium","High"))</f>
        <v>Medium</v>
      </c>
      <c r="AL4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9" spans="1:38" hidden="1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tr">
        <f>IF(HR_Data[[#This Row],[Age]]&lt;30,"Under 30",IF(HR_Data[[#This Row],[Age]]&lt;=40,"30-40",IF(HR_Data[[#This Row],[Age]]&lt;=50,"41-50","50+")))</f>
        <v>30-40</v>
      </c>
      <c r="AK49" t="str">
        <f>IF(HR_Data[[#This Row],[MonthlyIncome]]&lt;4000,"Low",IF(HR_Data[[#This Row],[MonthlyIncome]]&lt;=7000,"Medium","High"))</f>
        <v>Low</v>
      </c>
      <c r="AL49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50" spans="1:38" hidden="1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tr">
        <f>IF(HR_Data[[#This Row],[Age]]&lt;30,"Under 30",IF(HR_Data[[#This Row],[Age]]&lt;=40,"30-40",IF(HR_Data[[#This Row],[Age]]&lt;=50,"41-50","50+")))</f>
        <v>41-50</v>
      </c>
      <c r="AK50" t="str">
        <f>IF(HR_Data[[#This Row],[MonthlyIncome]]&lt;4000,"Low",IF(HR_Data[[#This Row],[MonthlyIncome]]&lt;=7000,"Medium","High"))</f>
        <v>Medium</v>
      </c>
      <c r="AL5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1" spans="1:38" hidden="1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tr">
        <f>IF(HR_Data[[#This Row],[Age]]&lt;30,"Under 30",IF(HR_Data[[#This Row],[Age]]&lt;=40,"30-40",IF(HR_Data[[#This Row],[Age]]&lt;=50,"41-50","50+")))</f>
        <v>30-40</v>
      </c>
      <c r="AK51" t="str">
        <f>IF(HR_Data[[#This Row],[MonthlyIncome]]&lt;4000,"Low",IF(HR_Data[[#This Row],[MonthlyIncome]]&lt;=7000,"Medium","High"))</f>
        <v>Low</v>
      </c>
      <c r="AL51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52" spans="1:38" hidden="1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tr">
        <f>IF(HR_Data[[#This Row],[Age]]&lt;30,"Under 30",IF(HR_Data[[#This Row],[Age]]&lt;=40,"30-40",IF(HR_Data[[#This Row],[Age]]&lt;=50,"41-50","50+")))</f>
        <v>41-50</v>
      </c>
      <c r="AK52" t="str">
        <f>IF(HR_Data[[#This Row],[MonthlyIncome]]&lt;4000,"Low",IF(HR_Data[[#This Row],[MonthlyIncome]]&lt;=7000,"Medium","High"))</f>
        <v>Medium</v>
      </c>
      <c r="AL52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53" spans="1:38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tr">
        <f>IF(HR_Data[[#This Row],[Age]]&lt;30,"Under 30",IF(HR_Data[[#This Row],[Age]]&lt;=40,"30-40",IF(HR_Data[[#This Row],[Age]]&lt;=50,"41-50","50+")))</f>
        <v>Under 30</v>
      </c>
      <c r="AK53" t="str">
        <f>IF(HR_Data[[#This Row],[MonthlyIncome]]&lt;4000,"Low",IF(HR_Data[[#This Row],[MonthlyIncome]]&lt;=7000,"Medium","High"))</f>
        <v>Low</v>
      </c>
      <c r="AL5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4" spans="1:38" hidden="1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tr">
        <f>IF(HR_Data[[#This Row],[Age]]&lt;30,"Under 30",IF(HR_Data[[#This Row],[Age]]&lt;=40,"30-40",IF(HR_Data[[#This Row],[Age]]&lt;=50,"41-50","50+")))</f>
        <v>41-50</v>
      </c>
      <c r="AK54" t="str">
        <f>IF(HR_Data[[#This Row],[MonthlyIncome]]&lt;4000,"Low",IF(HR_Data[[#This Row],[MonthlyIncome]]&lt;=7000,"Medium","High"))</f>
        <v>Medium</v>
      </c>
      <c r="AL5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5" spans="1:38" hidden="1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tr">
        <f>IF(HR_Data[[#This Row],[Age]]&lt;30,"Under 30",IF(HR_Data[[#This Row],[Age]]&lt;=40,"30-40",IF(HR_Data[[#This Row],[Age]]&lt;=50,"41-50","50+")))</f>
        <v>30-40</v>
      </c>
      <c r="AK55" t="str">
        <f>IF(HR_Data[[#This Row],[MonthlyIncome]]&lt;4000,"Low",IF(HR_Data[[#This Row],[MonthlyIncome]]&lt;=7000,"Medium","High"))</f>
        <v>High</v>
      </c>
      <c r="AL5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6" spans="1:38" hidden="1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tr">
        <f>IF(HR_Data[[#This Row],[Age]]&lt;30,"Under 30",IF(HR_Data[[#This Row],[Age]]&lt;=40,"30-40",IF(HR_Data[[#This Row],[Age]]&lt;=50,"41-50","50+")))</f>
        <v>Under 30</v>
      </c>
      <c r="AK56" t="str">
        <f>IF(HR_Data[[#This Row],[MonthlyIncome]]&lt;4000,"Low",IF(HR_Data[[#This Row],[MonthlyIncome]]&lt;=7000,"Medium","High"))</f>
        <v>Medium</v>
      </c>
      <c r="AL5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7" spans="1:38" hidden="1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tr">
        <f>IF(HR_Data[[#This Row],[Age]]&lt;30,"Under 30",IF(HR_Data[[#This Row],[Age]]&lt;=40,"30-40",IF(HR_Data[[#This Row],[Age]]&lt;=50,"41-50","50+")))</f>
        <v>30-40</v>
      </c>
      <c r="AK57" t="str">
        <f>IF(HR_Data[[#This Row],[MonthlyIncome]]&lt;4000,"Low",IF(HR_Data[[#This Row],[MonthlyIncome]]&lt;=7000,"Medium","High"))</f>
        <v>High</v>
      </c>
      <c r="AL57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58" spans="1:38" hidden="1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tr">
        <f>IF(HR_Data[[#This Row],[Age]]&lt;30,"Under 30",IF(HR_Data[[#This Row],[Age]]&lt;=40,"30-40",IF(HR_Data[[#This Row],[Age]]&lt;=50,"41-50","50+")))</f>
        <v>30-40</v>
      </c>
      <c r="AK58" t="str">
        <f>IF(HR_Data[[#This Row],[MonthlyIncome]]&lt;4000,"Low",IF(HR_Data[[#This Row],[MonthlyIncome]]&lt;=7000,"Medium","High"))</f>
        <v>High</v>
      </c>
      <c r="AL5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9" spans="1:38" hidden="1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tr">
        <f>IF(HR_Data[[#This Row],[Age]]&lt;30,"Under 30",IF(HR_Data[[#This Row],[Age]]&lt;=40,"30-40",IF(HR_Data[[#This Row],[Age]]&lt;=50,"41-50","50+")))</f>
        <v>30-40</v>
      </c>
      <c r="AK59" t="str">
        <f>IF(HR_Data[[#This Row],[MonthlyIncome]]&lt;4000,"Low",IF(HR_Data[[#This Row],[MonthlyIncome]]&lt;=7000,"Medium","High"))</f>
        <v>Medium</v>
      </c>
      <c r="AL5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0" spans="1:38" hidden="1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tr">
        <f>IF(HR_Data[[#This Row],[Age]]&lt;30,"Under 30",IF(HR_Data[[#This Row],[Age]]&lt;=40,"30-40",IF(HR_Data[[#This Row],[Age]]&lt;=50,"41-50","50+")))</f>
        <v>30-40</v>
      </c>
      <c r="AK60" t="str">
        <f>IF(HR_Data[[#This Row],[MonthlyIncome]]&lt;4000,"Low",IF(HR_Data[[#This Row],[MonthlyIncome]]&lt;=7000,"Medium","High"))</f>
        <v>Medium</v>
      </c>
      <c r="AL6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61" spans="1:38" hidden="1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tr">
        <f>IF(HR_Data[[#This Row],[Age]]&lt;30,"Under 30",IF(HR_Data[[#This Row],[Age]]&lt;=40,"30-40",IF(HR_Data[[#This Row],[Age]]&lt;=50,"41-50","50+")))</f>
        <v>30-40</v>
      </c>
      <c r="AK61" t="str">
        <f>IF(HR_Data[[#This Row],[MonthlyIncome]]&lt;4000,"Low",IF(HR_Data[[#This Row],[MonthlyIncome]]&lt;=7000,"Medium","High"))</f>
        <v>Medium</v>
      </c>
      <c r="AL6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62" spans="1:38" hidden="1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tr">
        <f>IF(HR_Data[[#This Row],[Age]]&lt;30,"Under 30",IF(HR_Data[[#This Row],[Age]]&lt;=40,"30-40",IF(HR_Data[[#This Row],[Age]]&lt;=50,"41-50","50+")))</f>
        <v>30-40</v>
      </c>
      <c r="AK62" t="str">
        <f>IF(HR_Data[[#This Row],[MonthlyIncome]]&lt;4000,"Low",IF(HR_Data[[#This Row],[MonthlyIncome]]&lt;=7000,"Medium","High"))</f>
        <v>Medium</v>
      </c>
      <c r="AL6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63" spans="1:38" hidden="1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tr">
        <f>IF(HR_Data[[#This Row],[Age]]&lt;30,"Under 30",IF(HR_Data[[#This Row],[Age]]&lt;=40,"30-40",IF(HR_Data[[#This Row],[Age]]&lt;=50,"41-50","50+")))</f>
        <v>30-40</v>
      </c>
      <c r="AK63" t="str">
        <f>IF(HR_Data[[#This Row],[MonthlyIncome]]&lt;4000,"Low",IF(HR_Data[[#This Row],[MonthlyIncome]]&lt;=7000,"Medium","High"))</f>
        <v>Low</v>
      </c>
      <c r="AL6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64" spans="1:38" hidden="1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tr">
        <f>IF(HR_Data[[#This Row],[Age]]&lt;30,"Under 30",IF(HR_Data[[#This Row],[Age]]&lt;=40,"30-40",IF(HR_Data[[#This Row],[Age]]&lt;=50,"41-50","50+")))</f>
        <v>41-50</v>
      </c>
      <c r="AK64" t="str">
        <f>IF(HR_Data[[#This Row],[MonthlyIncome]]&lt;4000,"Low",IF(HR_Data[[#This Row],[MonthlyIncome]]&lt;=7000,"Medium","High"))</f>
        <v>High</v>
      </c>
      <c r="AL64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65" spans="1:38" hidden="1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tr">
        <f>IF(HR_Data[[#This Row],[Age]]&lt;30,"Under 30",IF(HR_Data[[#This Row],[Age]]&lt;=40,"30-40",IF(HR_Data[[#This Row],[Age]]&lt;=50,"41-50","50+")))</f>
        <v>50+</v>
      </c>
      <c r="AK65" t="str">
        <f>IF(HR_Data[[#This Row],[MonthlyIncome]]&lt;4000,"Low",IF(HR_Data[[#This Row],[MonthlyIncome]]&lt;=7000,"Medium","High"))</f>
        <v>High</v>
      </c>
      <c r="AL65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66" spans="1:38" hidden="1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tr">
        <f>IF(HR_Data[[#This Row],[Age]]&lt;30,"Under 30",IF(HR_Data[[#This Row],[Age]]&lt;=40,"30-40",IF(HR_Data[[#This Row],[Age]]&lt;=50,"41-50","50+")))</f>
        <v>30-40</v>
      </c>
      <c r="AK66" t="str">
        <f>IF(HR_Data[[#This Row],[MonthlyIncome]]&lt;4000,"Low",IF(HR_Data[[#This Row],[MonthlyIncome]]&lt;=7000,"Medium","High"))</f>
        <v>High</v>
      </c>
      <c r="AL66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67" spans="1:38" hidden="1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tr">
        <f>IF(HR_Data[[#This Row],[Age]]&lt;30,"Under 30",IF(HR_Data[[#This Row],[Age]]&lt;=40,"30-40",IF(HR_Data[[#This Row],[Age]]&lt;=50,"41-50","50+")))</f>
        <v>50+</v>
      </c>
      <c r="AK67" t="str">
        <f>IF(HR_Data[[#This Row],[MonthlyIncome]]&lt;4000,"Low",IF(HR_Data[[#This Row],[MonthlyIncome]]&lt;=7000,"Medium","High"))</f>
        <v>High</v>
      </c>
      <c r="AL6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8" spans="1:38" hidden="1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tr">
        <f>IF(HR_Data[[#This Row],[Age]]&lt;30,"Under 30",IF(HR_Data[[#This Row],[Age]]&lt;=40,"30-40",IF(HR_Data[[#This Row],[Age]]&lt;=50,"41-50","50+")))</f>
        <v>30-40</v>
      </c>
      <c r="AK68" t="str">
        <f>IF(HR_Data[[#This Row],[MonthlyIncome]]&lt;4000,"Low",IF(HR_Data[[#This Row],[MonthlyIncome]]&lt;=7000,"Medium","High"))</f>
        <v>Medium</v>
      </c>
      <c r="AL6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69" spans="1:38" hidden="1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tr">
        <f>IF(HR_Data[[#This Row],[Age]]&lt;30,"Under 30",IF(HR_Data[[#This Row],[Age]]&lt;=40,"30-40",IF(HR_Data[[#This Row],[Age]]&lt;=50,"41-50","50+")))</f>
        <v>41-50</v>
      </c>
      <c r="AK69" t="str">
        <f>IF(HR_Data[[#This Row],[MonthlyIncome]]&lt;4000,"Low",IF(HR_Data[[#This Row],[MonthlyIncome]]&lt;=7000,"Medium","High"))</f>
        <v>High</v>
      </c>
      <c r="AL69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70" spans="1:38" hidden="1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tr">
        <f>IF(HR_Data[[#This Row],[Age]]&lt;30,"Under 30",IF(HR_Data[[#This Row],[Age]]&lt;=40,"30-40",IF(HR_Data[[#This Row],[Age]]&lt;=50,"41-50","50+")))</f>
        <v>30-40</v>
      </c>
      <c r="AK70" t="str">
        <f>IF(HR_Data[[#This Row],[MonthlyIncome]]&lt;4000,"Low",IF(HR_Data[[#This Row],[MonthlyIncome]]&lt;=7000,"Medium","High"))</f>
        <v>Low</v>
      </c>
      <c r="AL7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1" spans="1:38" hidden="1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tr">
        <f>IF(HR_Data[[#This Row],[Age]]&lt;30,"Under 30",IF(HR_Data[[#This Row],[Age]]&lt;=40,"30-40",IF(HR_Data[[#This Row],[Age]]&lt;=50,"41-50","50+")))</f>
        <v>30-40</v>
      </c>
      <c r="AK71" t="str">
        <f>IF(HR_Data[[#This Row],[MonthlyIncome]]&lt;4000,"Low",IF(HR_Data[[#This Row],[MonthlyIncome]]&lt;=7000,"Medium","High"))</f>
        <v>Low</v>
      </c>
      <c r="AL71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72" spans="1:38" hidden="1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tr">
        <f>IF(HR_Data[[#This Row],[Age]]&lt;30,"Under 30",IF(HR_Data[[#This Row],[Age]]&lt;=40,"30-40",IF(HR_Data[[#This Row],[Age]]&lt;=50,"41-50","50+")))</f>
        <v>50+</v>
      </c>
      <c r="AK72" t="str">
        <f>IF(HR_Data[[#This Row],[MonthlyIncome]]&lt;4000,"Low",IF(HR_Data[[#This Row],[MonthlyIncome]]&lt;=7000,"Medium","High"))</f>
        <v>Medium</v>
      </c>
      <c r="AL7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3" spans="1:38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tr">
        <f>IF(HR_Data[[#This Row],[Age]]&lt;30,"Under 30",IF(HR_Data[[#This Row],[Age]]&lt;=40,"30-40",IF(HR_Data[[#This Row],[Age]]&lt;=50,"41-50","50+")))</f>
        <v>Under 30</v>
      </c>
      <c r="AK73" t="str">
        <f>IF(HR_Data[[#This Row],[MonthlyIncome]]&lt;4000,"Low",IF(HR_Data[[#This Row],[MonthlyIncome]]&lt;=7000,"Medium","High"))</f>
        <v>Low</v>
      </c>
      <c r="AL7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4" spans="1:38" hidden="1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tr">
        <f>IF(HR_Data[[#This Row],[Age]]&lt;30,"Under 30",IF(HR_Data[[#This Row],[Age]]&lt;=40,"30-40",IF(HR_Data[[#This Row],[Age]]&lt;=50,"41-50","50+")))</f>
        <v>30-40</v>
      </c>
      <c r="AK74" t="str">
        <f>IF(HR_Data[[#This Row],[MonthlyIncome]]&lt;4000,"Low",IF(HR_Data[[#This Row],[MonthlyIncome]]&lt;=7000,"Medium","High"))</f>
        <v>Low</v>
      </c>
      <c r="AL74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75" spans="1:38" hidden="1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tr">
        <f>IF(HR_Data[[#This Row],[Age]]&lt;30,"Under 30",IF(HR_Data[[#This Row],[Age]]&lt;=40,"30-40",IF(HR_Data[[#This Row],[Age]]&lt;=50,"41-50","50+")))</f>
        <v>30-40</v>
      </c>
      <c r="AK75" t="str">
        <f>IF(HR_Data[[#This Row],[MonthlyIncome]]&lt;4000,"Low",IF(HR_Data[[#This Row],[MonthlyIncome]]&lt;=7000,"Medium","High"))</f>
        <v>Medium</v>
      </c>
      <c r="AL7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76" spans="1:38" hidden="1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tr">
        <f>IF(HR_Data[[#This Row],[Age]]&lt;30,"Under 30",IF(HR_Data[[#This Row],[Age]]&lt;=40,"30-40",IF(HR_Data[[#This Row],[Age]]&lt;=50,"41-50","50+")))</f>
        <v>30-40</v>
      </c>
      <c r="AK76" t="str">
        <f>IF(HR_Data[[#This Row],[MonthlyIncome]]&lt;4000,"Low",IF(HR_Data[[#This Row],[MonthlyIncome]]&lt;=7000,"Medium","High"))</f>
        <v>Low</v>
      </c>
      <c r="AL76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77" spans="1:38" hidden="1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tr">
        <f>IF(HR_Data[[#This Row],[Age]]&lt;30,"Under 30",IF(HR_Data[[#This Row],[Age]]&lt;=40,"30-40",IF(HR_Data[[#This Row],[Age]]&lt;=50,"41-50","50+")))</f>
        <v>30-40</v>
      </c>
      <c r="AK77" t="str">
        <f>IF(HR_Data[[#This Row],[MonthlyIncome]]&lt;4000,"Low",IF(HR_Data[[#This Row],[MonthlyIncome]]&lt;=7000,"Medium","High"))</f>
        <v>Medium</v>
      </c>
      <c r="AL77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78" spans="1:38" hidden="1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tr">
        <f>IF(HR_Data[[#This Row],[Age]]&lt;30,"Under 30",IF(HR_Data[[#This Row],[Age]]&lt;=40,"30-40",IF(HR_Data[[#This Row],[Age]]&lt;=50,"41-50","50+")))</f>
        <v>30-40</v>
      </c>
      <c r="AK78" t="str">
        <f>IF(HR_Data[[#This Row],[MonthlyIncome]]&lt;4000,"Low",IF(HR_Data[[#This Row],[MonthlyIncome]]&lt;=7000,"Medium","High"))</f>
        <v>Medium</v>
      </c>
      <c r="AL78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79" spans="1:38" hidden="1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tr">
        <f>IF(HR_Data[[#This Row],[Age]]&lt;30,"Under 30",IF(HR_Data[[#This Row],[Age]]&lt;=40,"30-40",IF(HR_Data[[#This Row],[Age]]&lt;=50,"41-50","50+")))</f>
        <v>41-50</v>
      </c>
      <c r="AK79" t="str">
        <f>IF(HR_Data[[#This Row],[MonthlyIncome]]&lt;4000,"Low",IF(HR_Data[[#This Row],[MonthlyIncome]]&lt;=7000,"Medium","High"))</f>
        <v>High</v>
      </c>
      <c r="AL79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80" spans="1:38" hidden="1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tr">
        <f>IF(HR_Data[[#This Row],[Age]]&lt;30,"Under 30",IF(HR_Data[[#This Row],[Age]]&lt;=40,"30-40",IF(HR_Data[[#This Row],[Age]]&lt;=50,"41-50","50+")))</f>
        <v>30-40</v>
      </c>
      <c r="AK80" t="str">
        <f>IF(HR_Data[[#This Row],[MonthlyIncome]]&lt;4000,"Low",IF(HR_Data[[#This Row],[MonthlyIncome]]&lt;=7000,"Medium","High"))</f>
        <v>High</v>
      </c>
      <c r="AL8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1" spans="1:38" hidden="1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tr">
        <f>IF(HR_Data[[#This Row],[Age]]&lt;30,"Under 30",IF(HR_Data[[#This Row],[Age]]&lt;=40,"30-40",IF(HR_Data[[#This Row],[Age]]&lt;=50,"41-50","50+")))</f>
        <v>41-50</v>
      </c>
      <c r="AK81" t="str">
        <f>IF(HR_Data[[#This Row],[MonthlyIncome]]&lt;4000,"Low",IF(HR_Data[[#This Row],[MonthlyIncome]]&lt;=7000,"Medium","High"))</f>
        <v>Medium</v>
      </c>
      <c r="AL8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2" spans="1:38" hidden="1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tr">
        <f>IF(HR_Data[[#This Row],[Age]]&lt;30,"Under 30",IF(HR_Data[[#This Row],[Age]]&lt;=40,"30-40",IF(HR_Data[[#This Row],[Age]]&lt;=50,"41-50","50+")))</f>
        <v>30-40</v>
      </c>
      <c r="AK82" t="str">
        <f>IF(HR_Data[[#This Row],[MonthlyIncome]]&lt;4000,"Low",IF(HR_Data[[#This Row],[MonthlyIncome]]&lt;=7000,"Medium","High"))</f>
        <v>Medium</v>
      </c>
      <c r="AL8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3" spans="1:38" hidden="1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tr">
        <f>IF(HR_Data[[#This Row],[Age]]&lt;30,"Under 30",IF(HR_Data[[#This Row],[Age]]&lt;=40,"30-40",IF(HR_Data[[#This Row],[Age]]&lt;=50,"41-50","50+")))</f>
        <v>30-40</v>
      </c>
      <c r="AK83" t="str">
        <f>IF(HR_Data[[#This Row],[MonthlyIncome]]&lt;4000,"Low",IF(HR_Data[[#This Row],[MonthlyIncome]]&lt;=7000,"Medium","High"))</f>
        <v>Low</v>
      </c>
      <c r="AL8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4" spans="1:38" hidden="1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tr">
        <f>IF(HR_Data[[#This Row],[Age]]&lt;30,"Under 30",IF(HR_Data[[#This Row],[Age]]&lt;=40,"30-40",IF(HR_Data[[#This Row],[Age]]&lt;=50,"41-50","50+")))</f>
        <v>50+</v>
      </c>
      <c r="AK84" t="str">
        <f>IF(HR_Data[[#This Row],[MonthlyIncome]]&lt;4000,"Low",IF(HR_Data[[#This Row],[MonthlyIncome]]&lt;=7000,"Medium","High"))</f>
        <v>High</v>
      </c>
      <c r="AL84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85" spans="1:38" hidden="1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tr">
        <f>IF(HR_Data[[#This Row],[Age]]&lt;30,"Under 30",IF(HR_Data[[#This Row],[Age]]&lt;=40,"30-40",IF(HR_Data[[#This Row],[Age]]&lt;=50,"41-50","50+")))</f>
        <v>30-40</v>
      </c>
      <c r="AK85" t="str">
        <f>IF(HR_Data[[#This Row],[MonthlyIncome]]&lt;4000,"Low",IF(HR_Data[[#This Row],[MonthlyIncome]]&lt;=7000,"Medium","High"))</f>
        <v>Medium</v>
      </c>
      <c r="AL85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86" spans="1:38" hidden="1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tr">
        <f>IF(HR_Data[[#This Row],[Age]]&lt;30,"Under 30",IF(HR_Data[[#This Row],[Age]]&lt;=40,"30-40",IF(HR_Data[[#This Row],[Age]]&lt;=50,"41-50","50+")))</f>
        <v>30-40</v>
      </c>
      <c r="AK86" t="str">
        <f>IF(HR_Data[[#This Row],[MonthlyIncome]]&lt;4000,"Low",IF(HR_Data[[#This Row],[MonthlyIncome]]&lt;=7000,"Medium","High"))</f>
        <v>Medium</v>
      </c>
      <c r="AL8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7" spans="1:38" hidden="1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tr">
        <f>IF(HR_Data[[#This Row],[Age]]&lt;30,"Under 30",IF(HR_Data[[#This Row],[Age]]&lt;=40,"30-40",IF(HR_Data[[#This Row],[Age]]&lt;=50,"41-50","50+")))</f>
        <v>50+</v>
      </c>
      <c r="AK87" t="str">
        <f>IF(HR_Data[[#This Row],[MonthlyIncome]]&lt;4000,"Low",IF(HR_Data[[#This Row],[MonthlyIncome]]&lt;=7000,"Medium","High"))</f>
        <v>High</v>
      </c>
      <c r="AL8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8" spans="1:38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tr">
        <f>IF(HR_Data[[#This Row],[Age]]&lt;30,"Under 30",IF(HR_Data[[#This Row],[Age]]&lt;=40,"30-40",IF(HR_Data[[#This Row],[Age]]&lt;=50,"41-50","50+")))</f>
        <v>Under 30</v>
      </c>
      <c r="AK88" t="str">
        <f>IF(HR_Data[[#This Row],[MonthlyIncome]]&lt;4000,"Low",IF(HR_Data[[#This Row],[MonthlyIncome]]&lt;=7000,"Medium","High"))</f>
        <v>Low</v>
      </c>
      <c r="AL88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89" spans="1:38" hidden="1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tr">
        <f>IF(HR_Data[[#This Row],[Age]]&lt;30,"Under 30",IF(HR_Data[[#This Row],[Age]]&lt;=40,"30-40",IF(HR_Data[[#This Row],[Age]]&lt;=50,"41-50","50+")))</f>
        <v>50+</v>
      </c>
      <c r="AK89" t="str">
        <f>IF(HR_Data[[#This Row],[MonthlyIncome]]&lt;4000,"Low",IF(HR_Data[[#This Row],[MonthlyIncome]]&lt;=7000,"Medium","High"))</f>
        <v>Low</v>
      </c>
      <c r="AL8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90" spans="1:38" hidden="1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tr">
        <f>IF(HR_Data[[#This Row],[Age]]&lt;30,"Under 30",IF(HR_Data[[#This Row],[Age]]&lt;=40,"30-40",IF(HR_Data[[#This Row],[Age]]&lt;=50,"41-50","50+")))</f>
        <v>30-40</v>
      </c>
      <c r="AK90" t="str">
        <f>IF(HR_Data[[#This Row],[MonthlyIncome]]&lt;4000,"Low",IF(HR_Data[[#This Row],[MonthlyIncome]]&lt;=7000,"Medium","High"))</f>
        <v>Medium</v>
      </c>
      <c r="AL90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91" spans="1:38" hidden="1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tr">
        <f>IF(HR_Data[[#This Row],[Age]]&lt;30,"Under 30",IF(HR_Data[[#This Row],[Age]]&lt;=40,"30-40",IF(HR_Data[[#This Row],[Age]]&lt;=50,"41-50","50+")))</f>
        <v>41-50</v>
      </c>
      <c r="AK91" t="str">
        <f>IF(HR_Data[[#This Row],[MonthlyIncome]]&lt;4000,"Low",IF(HR_Data[[#This Row],[MonthlyIncome]]&lt;=7000,"Medium","High"))</f>
        <v>High</v>
      </c>
      <c r="AL9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2" spans="1:38" hidden="1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tr">
        <f>IF(HR_Data[[#This Row],[Age]]&lt;30,"Under 30",IF(HR_Data[[#This Row],[Age]]&lt;=40,"30-40",IF(HR_Data[[#This Row],[Age]]&lt;=50,"41-50","50+")))</f>
        <v>30-40</v>
      </c>
      <c r="AK92" t="str">
        <f>IF(HR_Data[[#This Row],[MonthlyIncome]]&lt;4000,"Low",IF(HR_Data[[#This Row],[MonthlyIncome]]&lt;=7000,"Medium","High"))</f>
        <v>High</v>
      </c>
      <c r="AL92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93" spans="1:38" hidden="1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tr">
        <f>IF(HR_Data[[#This Row],[Age]]&lt;30,"Under 30",IF(HR_Data[[#This Row],[Age]]&lt;=40,"30-40",IF(HR_Data[[#This Row],[Age]]&lt;=50,"41-50","50+")))</f>
        <v>50+</v>
      </c>
      <c r="AK93" t="str">
        <f>IF(HR_Data[[#This Row],[MonthlyIncome]]&lt;4000,"Low",IF(HR_Data[[#This Row],[MonthlyIncome]]&lt;=7000,"Medium","High"))</f>
        <v>Medium</v>
      </c>
      <c r="AL9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4" spans="1:38" hidden="1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tr">
        <f>IF(HR_Data[[#This Row],[Age]]&lt;30,"Under 30",IF(HR_Data[[#This Row],[Age]]&lt;=40,"30-40",IF(HR_Data[[#This Row],[Age]]&lt;=50,"41-50","50+")))</f>
        <v>30-40</v>
      </c>
      <c r="AK94" t="str">
        <f>IF(HR_Data[[#This Row],[MonthlyIncome]]&lt;4000,"Low",IF(HR_Data[[#This Row],[MonthlyIncome]]&lt;=7000,"Medium","High"))</f>
        <v>Medium</v>
      </c>
      <c r="AL94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95" spans="1:38" hidden="1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tr">
        <f>IF(HR_Data[[#This Row],[Age]]&lt;30,"Under 30",IF(HR_Data[[#This Row],[Age]]&lt;=40,"30-40",IF(HR_Data[[#This Row],[Age]]&lt;=50,"41-50","50+")))</f>
        <v>41-50</v>
      </c>
      <c r="AK95" t="str">
        <f>IF(HR_Data[[#This Row],[MonthlyIncome]]&lt;4000,"Low",IF(HR_Data[[#This Row],[MonthlyIncome]]&lt;=7000,"Medium","High"))</f>
        <v>High</v>
      </c>
      <c r="AL9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6" spans="1:38" hidden="1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tr">
        <f>IF(HR_Data[[#This Row],[Age]]&lt;30,"Under 30",IF(HR_Data[[#This Row],[Age]]&lt;=40,"30-40",IF(HR_Data[[#This Row],[Age]]&lt;=50,"41-50","50+")))</f>
        <v>30-40</v>
      </c>
      <c r="AK96" t="str">
        <f>IF(HR_Data[[#This Row],[MonthlyIncome]]&lt;4000,"Low",IF(HR_Data[[#This Row],[MonthlyIncome]]&lt;=7000,"Medium","High"))</f>
        <v>Medium</v>
      </c>
      <c r="AL96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97" spans="1:38" hidden="1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tr">
        <f>IF(HR_Data[[#This Row],[Age]]&lt;30,"Under 30",IF(HR_Data[[#This Row],[Age]]&lt;=40,"30-40",IF(HR_Data[[#This Row],[Age]]&lt;=50,"41-50","50+")))</f>
        <v>50+</v>
      </c>
      <c r="AK97" t="str">
        <f>IF(HR_Data[[#This Row],[MonthlyIncome]]&lt;4000,"Low",IF(HR_Data[[#This Row],[MonthlyIncome]]&lt;=7000,"Medium","High"))</f>
        <v>High</v>
      </c>
      <c r="AL9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98" spans="1:38" hidden="1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tr">
        <f>IF(HR_Data[[#This Row],[Age]]&lt;30,"Under 30",IF(HR_Data[[#This Row],[Age]]&lt;=40,"30-40",IF(HR_Data[[#This Row],[Age]]&lt;=50,"41-50","50+")))</f>
        <v>Under 30</v>
      </c>
      <c r="AK98" t="str">
        <f>IF(HR_Data[[#This Row],[MonthlyIncome]]&lt;4000,"Low",IF(HR_Data[[#This Row],[MonthlyIncome]]&lt;=7000,"Medium","High"))</f>
        <v>Medium</v>
      </c>
      <c r="AL9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99" spans="1:38" hidden="1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tr">
        <f>IF(HR_Data[[#This Row],[Age]]&lt;30,"Under 30",IF(HR_Data[[#This Row],[Age]]&lt;=40,"30-40",IF(HR_Data[[#This Row],[Age]]&lt;=50,"41-50","50+")))</f>
        <v>Under 30</v>
      </c>
      <c r="AK99" t="str">
        <f>IF(HR_Data[[#This Row],[MonthlyIncome]]&lt;4000,"Low",IF(HR_Data[[#This Row],[MonthlyIncome]]&lt;=7000,"Medium","High"))</f>
        <v>Medium</v>
      </c>
      <c r="AL9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0" spans="1:38" hidden="1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tr">
        <f>IF(HR_Data[[#This Row],[Age]]&lt;30,"Under 30",IF(HR_Data[[#This Row],[Age]]&lt;=40,"30-40",IF(HR_Data[[#This Row],[Age]]&lt;=50,"41-50","50+")))</f>
        <v>50+</v>
      </c>
      <c r="AK100" t="str">
        <f>IF(HR_Data[[#This Row],[MonthlyIncome]]&lt;4000,"Low",IF(HR_Data[[#This Row],[MonthlyIncome]]&lt;=7000,"Medium","High"))</f>
        <v>High</v>
      </c>
      <c r="AL100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01" spans="1:38" hidden="1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tr">
        <f>IF(HR_Data[[#This Row],[Age]]&lt;30,"Under 30",IF(HR_Data[[#This Row],[Age]]&lt;=40,"30-40",IF(HR_Data[[#This Row],[Age]]&lt;=50,"41-50","50+")))</f>
        <v>41-50</v>
      </c>
      <c r="AK101" t="str">
        <f>IF(HR_Data[[#This Row],[MonthlyIncome]]&lt;4000,"Low",IF(HR_Data[[#This Row],[MonthlyIncome]]&lt;=7000,"Medium","High"))</f>
        <v>Low</v>
      </c>
      <c r="AL10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2" spans="1:38" hidden="1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tr">
        <f>IF(HR_Data[[#This Row],[Age]]&lt;30,"Under 30",IF(HR_Data[[#This Row],[Age]]&lt;=40,"30-40",IF(HR_Data[[#This Row],[Age]]&lt;=50,"41-50","50+")))</f>
        <v>30-40</v>
      </c>
      <c r="AK102" t="str">
        <f>IF(HR_Data[[#This Row],[MonthlyIncome]]&lt;4000,"Low",IF(HR_Data[[#This Row],[MonthlyIncome]]&lt;=7000,"Medium","High"))</f>
        <v>Low</v>
      </c>
      <c r="AL10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3" spans="1:38" hidden="1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tr">
        <f>IF(HR_Data[[#This Row],[Age]]&lt;30,"Under 30",IF(HR_Data[[#This Row],[Age]]&lt;=40,"30-40",IF(HR_Data[[#This Row],[Age]]&lt;=50,"41-50","50+")))</f>
        <v>30-40</v>
      </c>
      <c r="AK103" t="str">
        <f>IF(HR_Data[[#This Row],[MonthlyIncome]]&lt;4000,"Low",IF(HR_Data[[#This Row],[MonthlyIncome]]&lt;=7000,"Medium","High"))</f>
        <v>Low</v>
      </c>
      <c r="AL103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04" spans="1:38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tr">
        <f>IF(HR_Data[[#This Row],[Age]]&lt;30,"Under 30",IF(HR_Data[[#This Row],[Age]]&lt;=40,"30-40",IF(HR_Data[[#This Row],[Age]]&lt;=50,"41-50","50+")))</f>
        <v>Under 30</v>
      </c>
      <c r="AK104" t="str">
        <f>IF(HR_Data[[#This Row],[MonthlyIncome]]&lt;4000,"Low",IF(HR_Data[[#This Row],[MonthlyIncome]]&lt;=7000,"Medium","High"))</f>
        <v>Low</v>
      </c>
      <c r="AL104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05" spans="1:38" hidden="1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tr">
        <f>IF(HR_Data[[#This Row],[Age]]&lt;30,"Under 30",IF(HR_Data[[#This Row],[Age]]&lt;=40,"30-40",IF(HR_Data[[#This Row],[Age]]&lt;=50,"41-50","50+")))</f>
        <v>30-40</v>
      </c>
      <c r="AK105" t="str">
        <f>IF(HR_Data[[#This Row],[MonthlyIncome]]&lt;4000,"Low",IF(HR_Data[[#This Row],[MonthlyIncome]]&lt;=7000,"Medium","High"))</f>
        <v>Medium</v>
      </c>
      <c r="AL105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06" spans="1:38" hidden="1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tr">
        <f>IF(HR_Data[[#This Row],[Age]]&lt;30,"Under 30",IF(HR_Data[[#This Row],[Age]]&lt;=40,"30-40",IF(HR_Data[[#This Row],[Age]]&lt;=50,"41-50","50+")))</f>
        <v>30-40</v>
      </c>
      <c r="AK106" t="str">
        <f>IF(HR_Data[[#This Row],[MonthlyIncome]]&lt;4000,"Low",IF(HR_Data[[#This Row],[MonthlyIncome]]&lt;=7000,"Medium","High"))</f>
        <v>Medium</v>
      </c>
      <c r="AL106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07" spans="1:38" hidden="1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tr">
        <f>IF(HR_Data[[#This Row],[Age]]&lt;30,"Under 30",IF(HR_Data[[#This Row],[Age]]&lt;=40,"30-40",IF(HR_Data[[#This Row],[Age]]&lt;=50,"41-50","50+")))</f>
        <v>50+</v>
      </c>
      <c r="AK107" t="str">
        <f>IF(HR_Data[[#This Row],[MonthlyIncome]]&lt;4000,"Low",IF(HR_Data[[#This Row],[MonthlyIncome]]&lt;=7000,"Medium","High"))</f>
        <v>High</v>
      </c>
      <c r="AL10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8" spans="1:38" hidden="1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tr">
        <f>IF(HR_Data[[#This Row],[Age]]&lt;30,"Under 30",IF(HR_Data[[#This Row],[Age]]&lt;=40,"30-40",IF(HR_Data[[#This Row],[Age]]&lt;=50,"41-50","50+")))</f>
        <v>41-50</v>
      </c>
      <c r="AK108" t="str">
        <f>IF(HR_Data[[#This Row],[MonthlyIncome]]&lt;4000,"Low",IF(HR_Data[[#This Row],[MonthlyIncome]]&lt;=7000,"Medium","High"))</f>
        <v>High</v>
      </c>
      <c r="AL10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09" spans="1:38" hidden="1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tr">
        <f>IF(HR_Data[[#This Row],[Age]]&lt;30,"Under 30",IF(HR_Data[[#This Row],[Age]]&lt;=40,"30-40",IF(HR_Data[[#This Row],[Age]]&lt;=50,"41-50","50+")))</f>
        <v>Under 30</v>
      </c>
      <c r="AK109" t="str">
        <f>IF(HR_Data[[#This Row],[MonthlyIncome]]&lt;4000,"Low",IF(HR_Data[[#This Row],[MonthlyIncome]]&lt;=7000,"Medium","High"))</f>
        <v>Medium</v>
      </c>
      <c r="AL109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0" spans="1:38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tr">
        <f>IF(HR_Data[[#This Row],[Age]]&lt;30,"Under 30",IF(HR_Data[[#This Row],[Age]]&lt;=40,"30-40",IF(HR_Data[[#This Row],[Age]]&lt;=50,"41-50","50+")))</f>
        <v>Under 30</v>
      </c>
      <c r="AK110" t="str">
        <f>IF(HR_Data[[#This Row],[MonthlyIncome]]&lt;4000,"Low",IF(HR_Data[[#This Row],[MonthlyIncome]]&lt;=7000,"Medium","High"))</f>
        <v>Low</v>
      </c>
      <c r="AL11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1" spans="1:38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tr">
        <f>IF(HR_Data[[#This Row],[Age]]&lt;30,"Under 30",IF(HR_Data[[#This Row],[Age]]&lt;=40,"30-40",IF(HR_Data[[#This Row],[Age]]&lt;=50,"41-50","50+")))</f>
        <v>Under 30</v>
      </c>
      <c r="AK111" t="str">
        <f>IF(HR_Data[[#This Row],[MonthlyIncome]]&lt;4000,"Low",IF(HR_Data[[#This Row],[MonthlyIncome]]&lt;=7000,"Medium","High"))</f>
        <v>Low</v>
      </c>
      <c r="AL111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12" spans="1:38" hidden="1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tr">
        <f>IF(HR_Data[[#This Row],[Age]]&lt;30,"Under 30",IF(HR_Data[[#This Row],[Age]]&lt;=40,"30-40",IF(HR_Data[[#This Row],[Age]]&lt;=50,"41-50","50+")))</f>
        <v>50+</v>
      </c>
      <c r="AK112" t="str">
        <f>IF(HR_Data[[#This Row],[MonthlyIncome]]&lt;4000,"Low",IF(HR_Data[[#This Row],[MonthlyIncome]]&lt;=7000,"Medium","High"))</f>
        <v>High</v>
      </c>
      <c r="AL112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13" spans="1:38" hidden="1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tr">
        <f>IF(HR_Data[[#This Row],[Age]]&lt;30,"Under 30",IF(HR_Data[[#This Row],[Age]]&lt;=40,"30-40",IF(HR_Data[[#This Row],[Age]]&lt;=50,"41-50","50+")))</f>
        <v>30-40</v>
      </c>
      <c r="AK113" t="str">
        <f>IF(HR_Data[[#This Row],[MonthlyIncome]]&lt;4000,"Low",IF(HR_Data[[#This Row],[MonthlyIncome]]&lt;=7000,"Medium","High"))</f>
        <v>Medium</v>
      </c>
      <c r="AL11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4" spans="1:38" hidden="1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tr">
        <f>IF(HR_Data[[#This Row],[Age]]&lt;30,"Under 30",IF(HR_Data[[#This Row],[Age]]&lt;=40,"30-40",IF(HR_Data[[#This Row],[Age]]&lt;=50,"41-50","50+")))</f>
        <v>50+</v>
      </c>
      <c r="AK114" t="str">
        <f>IF(HR_Data[[#This Row],[MonthlyIncome]]&lt;4000,"Low",IF(HR_Data[[#This Row],[MonthlyIncome]]&lt;=7000,"Medium","High"))</f>
        <v>High</v>
      </c>
      <c r="AL11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5" spans="1:38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tr">
        <f>IF(HR_Data[[#This Row],[Age]]&lt;30,"Under 30",IF(HR_Data[[#This Row],[Age]]&lt;=40,"30-40",IF(HR_Data[[#This Row],[Age]]&lt;=50,"41-50","50+")))</f>
        <v>Under 30</v>
      </c>
      <c r="AK115" t="str">
        <f>IF(HR_Data[[#This Row],[MonthlyIncome]]&lt;4000,"Low",IF(HR_Data[[#This Row],[MonthlyIncome]]&lt;=7000,"Medium","High"))</f>
        <v>Low</v>
      </c>
      <c r="AL11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6" spans="1:38" hidden="1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tr">
        <f>IF(HR_Data[[#This Row],[Age]]&lt;30,"Under 30",IF(HR_Data[[#This Row],[Age]]&lt;=40,"30-40",IF(HR_Data[[#This Row],[Age]]&lt;=50,"41-50","50+")))</f>
        <v>30-40</v>
      </c>
      <c r="AK116" t="str">
        <f>IF(HR_Data[[#This Row],[MonthlyIncome]]&lt;4000,"Low",IF(HR_Data[[#This Row],[MonthlyIncome]]&lt;=7000,"Medium","High"))</f>
        <v>Medium</v>
      </c>
      <c r="AL116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17" spans="1:38" hidden="1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tr">
        <f>IF(HR_Data[[#This Row],[Age]]&lt;30,"Under 30",IF(HR_Data[[#This Row],[Age]]&lt;=40,"30-40",IF(HR_Data[[#This Row],[Age]]&lt;=50,"41-50","50+")))</f>
        <v>30-40</v>
      </c>
      <c r="AK117" t="str">
        <f>IF(HR_Data[[#This Row],[MonthlyIncome]]&lt;4000,"Low",IF(HR_Data[[#This Row],[MonthlyIncome]]&lt;=7000,"Medium","High"))</f>
        <v>High</v>
      </c>
      <c r="AL11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8" spans="1:38" hidden="1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tr">
        <f>IF(HR_Data[[#This Row],[Age]]&lt;30,"Under 30",IF(HR_Data[[#This Row],[Age]]&lt;=40,"30-40",IF(HR_Data[[#This Row],[Age]]&lt;=50,"41-50","50+")))</f>
        <v>30-40</v>
      </c>
      <c r="AK118" t="str">
        <f>IF(HR_Data[[#This Row],[MonthlyIncome]]&lt;4000,"Low",IF(HR_Data[[#This Row],[MonthlyIncome]]&lt;=7000,"Medium","High"))</f>
        <v>High</v>
      </c>
      <c r="AL118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19" spans="1:38" hidden="1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tr">
        <f>IF(HR_Data[[#This Row],[Age]]&lt;30,"Under 30",IF(HR_Data[[#This Row],[Age]]&lt;=40,"30-40",IF(HR_Data[[#This Row],[Age]]&lt;=50,"41-50","50+")))</f>
        <v>30-40</v>
      </c>
      <c r="AK119" t="str">
        <f>IF(HR_Data[[#This Row],[MonthlyIncome]]&lt;4000,"Low",IF(HR_Data[[#This Row],[MonthlyIncome]]&lt;=7000,"Medium","High"))</f>
        <v>High</v>
      </c>
      <c r="AL119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20" spans="1:38" hidden="1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tr">
        <f>IF(HR_Data[[#This Row],[Age]]&lt;30,"Under 30",IF(HR_Data[[#This Row],[Age]]&lt;=40,"30-40",IF(HR_Data[[#This Row],[Age]]&lt;=50,"41-50","50+")))</f>
        <v>30-40</v>
      </c>
      <c r="AK120" t="str">
        <f>IF(HR_Data[[#This Row],[MonthlyIncome]]&lt;4000,"Low",IF(HR_Data[[#This Row],[MonthlyIncome]]&lt;=7000,"Medium","High"))</f>
        <v>Low</v>
      </c>
      <c r="AL120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21" spans="1:38" hidden="1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tr">
        <f>IF(HR_Data[[#This Row],[Age]]&lt;30,"Under 30",IF(HR_Data[[#This Row],[Age]]&lt;=40,"30-40",IF(HR_Data[[#This Row],[Age]]&lt;=50,"41-50","50+")))</f>
        <v>41-50</v>
      </c>
      <c r="AK121" t="str">
        <f>IF(HR_Data[[#This Row],[MonthlyIncome]]&lt;4000,"Low",IF(HR_Data[[#This Row],[MonthlyIncome]]&lt;=7000,"Medium","High"))</f>
        <v>High</v>
      </c>
      <c r="AL121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22" spans="1:38" hidden="1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tr">
        <f>IF(HR_Data[[#This Row],[Age]]&lt;30,"Under 30",IF(HR_Data[[#This Row],[Age]]&lt;=40,"30-40",IF(HR_Data[[#This Row],[Age]]&lt;=50,"41-50","50+")))</f>
        <v>30-40</v>
      </c>
      <c r="AK122" t="str">
        <f>IF(HR_Data[[#This Row],[MonthlyIncome]]&lt;4000,"Low",IF(HR_Data[[#This Row],[MonthlyIncome]]&lt;=7000,"Medium","High"))</f>
        <v>Low</v>
      </c>
      <c r="AL12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23" spans="1:38" hidden="1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tr">
        <f>IF(HR_Data[[#This Row],[Age]]&lt;30,"Under 30",IF(HR_Data[[#This Row],[Age]]&lt;=40,"30-40",IF(HR_Data[[#This Row],[Age]]&lt;=50,"41-50","50+")))</f>
        <v>30-40</v>
      </c>
      <c r="AK123" t="str">
        <f>IF(HR_Data[[#This Row],[MonthlyIncome]]&lt;4000,"Low",IF(HR_Data[[#This Row],[MonthlyIncome]]&lt;=7000,"Medium","High"))</f>
        <v>Medium</v>
      </c>
      <c r="AL12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24" spans="1:38" hidden="1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tr">
        <f>IF(HR_Data[[#This Row],[Age]]&lt;30,"Under 30",IF(HR_Data[[#This Row],[Age]]&lt;=40,"30-40",IF(HR_Data[[#This Row],[Age]]&lt;=50,"41-50","50+")))</f>
        <v>50+</v>
      </c>
      <c r="AK124" t="str">
        <f>IF(HR_Data[[#This Row],[MonthlyIncome]]&lt;4000,"Low",IF(HR_Data[[#This Row],[MonthlyIncome]]&lt;=7000,"Medium","High"))</f>
        <v>Medium</v>
      </c>
      <c r="AL12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5" spans="1:38" hidden="1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tr">
        <f>IF(HR_Data[[#This Row],[Age]]&lt;30,"Under 30",IF(HR_Data[[#This Row],[Age]]&lt;=40,"30-40",IF(HR_Data[[#This Row],[Age]]&lt;=50,"41-50","50+")))</f>
        <v>50+</v>
      </c>
      <c r="AK125" t="str">
        <f>IF(HR_Data[[#This Row],[MonthlyIncome]]&lt;4000,"Low",IF(HR_Data[[#This Row],[MonthlyIncome]]&lt;=7000,"Medium","High"))</f>
        <v>High</v>
      </c>
      <c r="AL125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26" spans="1:38" hidden="1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tr">
        <f>IF(HR_Data[[#This Row],[Age]]&lt;30,"Under 30",IF(HR_Data[[#This Row],[Age]]&lt;=40,"30-40",IF(HR_Data[[#This Row],[Age]]&lt;=50,"41-50","50+")))</f>
        <v>30-40</v>
      </c>
      <c r="AK126" t="str">
        <f>IF(HR_Data[[#This Row],[MonthlyIncome]]&lt;4000,"Low",IF(HR_Data[[#This Row],[MonthlyIncome]]&lt;=7000,"Medium","High"))</f>
        <v>Medium</v>
      </c>
      <c r="AL12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27" spans="1:38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tr">
        <f>IF(HR_Data[[#This Row],[Age]]&lt;30,"Under 30",IF(HR_Data[[#This Row],[Age]]&lt;=40,"30-40",IF(HR_Data[[#This Row],[Age]]&lt;=50,"41-50","50+")))</f>
        <v>Under 30</v>
      </c>
      <c r="AK127" t="str">
        <f>IF(HR_Data[[#This Row],[MonthlyIncome]]&lt;4000,"Low",IF(HR_Data[[#This Row],[MonthlyIncome]]&lt;=7000,"Medium","High"))</f>
        <v>Low</v>
      </c>
      <c r="AL12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8" spans="1:38" hidden="1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tr">
        <f>IF(HR_Data[[#This Row],[Age]]&lt;30,"Under 30",IF(HR_Data[[#This Row],[Age]]&lt;=40,"30-40",IF(HR_Data[[#This Row],[Age]]&lt;=50,"41-50","50+")))</f>
        <v>50+</v>
      </c>
      <c r="AK128" t="str">
        <f>IF(HR_Data[[#This Row],[MonthlyIncome]]&lt;4000,"Low",IF(HR_Data[[#This Row],[MonthlyIncome]]&lt;=7000,"Medium","High"))</f>
        <v>High</v>
      </c>
      <c r="AL128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29" spans="1:38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tr">
        <f>IF(HR_Data[[#This Row],[Age]]&lt;30,"Under 30",IF(HR_Data[[#This Row],[Age]]&lt;=40,"30-40",IF(HR_Data[[#This Row],[Age]]&lt;=50,"41-50","50+")))</f>
        <v>Under 30</v>
      </c>
      <c r="AK129" t="str">
        <f>IF(HR_Data[[#This Row],[MonthlyIncome]]&lt;4000,"Low",IF(HR_Data[[#This Row],[MonthlyIncome]]&lt;=7000,"Medium","High"))</f>
        <v>Low</v>
      </c>
      <c r="AL129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30" spans="1:38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tr">
        <f>IF(HR_Data[[#This Row],[Age]]&lt;30,"Under 30",IF(HR_Data[[#This Row],[Age]]&lt;=40,"30-40",IF(HR_Data[[#This Row],[Age]]&lt;=50,"41-50","50+")))</f>
        <v>Under 30</v>
      </c>
      <c r="AK130" t="str">
        <f>IF(HR_Data[[#This Row],[MonthlyIncome]]&lt;4000,"Low",IF(HR_Data[[#This Row],[MonthlyIncome]]&lt;=7000,"Medium","High"))</f>
        <v>Low</v>
      </c>
      <c r="AL13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1" spans="1:38" hidden="1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tr">
        <f>IF(HR_Data[[#This Row],[Age]]&lt;30,"Under 30",IF(HR_Data[[#This Row],[Age]]&lt;=40,"30-40",IF(HR_Data[[#This Row],[Age]]&lt;=50,"41-50","50+")))</f>
        <v>41-50</v>
      </c>
      <c r="AK131" t="str">
        <f>IF(HR_Data[[#This Row],[MonthlyIncome]]&lt;4000,"Low",IF(HR_Data[[#This Row],[MonthlyIncome]]&lt;=7000,"Medium","High"))</f>
        <v>Medium</v>
      </c>
      <c r="AL131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32" spans="1:38" hidden="1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tr">
        <f>IF(HR_Data[[#This Row],[Age]]&lt;30,"Under 30",IF(HR_Data[[#This Row],[Age]]&lt;=40,"30-40",IF(HR_Data[[#This Row],[Age]]&lt;=50,"41-50","50+")))</f>
        <v>41-50</v>
      </c>
      <c r="AK132" t="str">
        <f>IF(HR_Data[[#This Row],[MonthlyIncome]]&lt;4000,"Low",IF(HR_Data[[#This Row],[MonthlyIncome]]&lt;=7000,"Medium","High"))</f>
        <v>Medium</v>
      </c>
      <c r="AL13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3" spans="1:38" hidden="1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tr">
        <f>IF(HR_Data[[#This Row],[Age]]&lt;30,"Under 30",IF(HR_Data[[#This Row],[Age]]&lt;=40,"30-40",IF(HR_Data[[#This Row],[Age]]&lt;=50,"41-50","50+")))</f>
        <v>41-50</v>
      </c>
      <c r="AK133" t="str">
        <f>IF(HR_Data[[#This Row],[MonthlyIncome]]&lt;4000,"Low",IF(HR_Data[[#This Row],[MonthlyIncome]]&lt;=7000,"Medium","High"))</f>
        <v>High</v>
      </c>
      <c r="AL13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4" spans="1:38" hidden="1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tr">
        <f>IF(HR_Data[[#This Row],[Age]]&lt;30,"Under 30",IF(HR_Data[[#This Row],[Age]]&lt;=40,"30-40",IF(HR_Data[[#This Row],[Age]]&lt;=50,"41-50","50+")))</f>
        <v>30-40</v>
      </c>
      <c r="AK134" t="str">
        <f>IF(HR_Data[[#This Row],[MonthlyIncome]]&lt;4000,"Low",IF(HR_Data[[#This Row],[MonthlyIncome]]&lt;=7000,"Medium","High"))</f>
        <v>Medium</v>
      </c>
      <c r="AL13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5" spans="1:38" hidden="1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tr">
        <f>IF(HR_Data[[#This Row],[Age]]&lt;30,"Under 30",IF(HR_Data[[#This Row],[Age]]&lt;=40,"30-40",IF(HR_Data[[#This Row],[Age]]&lt;=50,"41-50","50+")))</f>
        <v>41-50</v>
      </c>
      <c r="AK135" t="str">
        <f>IF(HR_Data[[#This Row],[MonthlyIncome]]&lt;4000,"Low",IF(HR_Data[[#This Row],[MonthlyIncome]]&lt;=7000,"Medium","High"))</f>
        <v>High</v>
      </c>
      <c r="AL13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36" spans="1:38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tr">
        <f>IF(HR_Data[[#This Row],[Age]]&lt;30,"Under 30",IF(HR_Data[[#This Row],[Age]]&lt;=40,"30-40",IF(HR_Data[[#This Row],[Age]]&lt;=50,"41-50","50+")))</f>
        <v>Under 30</v>
      </c>
      <c r="AK136" t="str">
        <f>IF(HR_Data[[#This Row],[MonthlyIncome]]&lt;4000,"Low",IF(HR_Data[[#This Row],[MonthlyIncome]]&lt;=7000,"Medium","High"))</f>
        <v>Low</v>
      </c>
      <c r="AL13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37" spans="1:38" hidden="1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tr">
        <f>IF(HR_Data[[#This Row],[Age]]&lt;30,"Under 30",IF(HR_Data[[#This Row],[Age]]&lt;=40,"30-40",IF(HR_Data[[#This Row],[Age]]&lt;=50,"41-50","50+")))</f>
        <v>30-40</v>
      </c>
      <c r="AK137" t="str">
        <f>IF(HR_Data[[#This Row],[MonthlyIncome]]&lt;4000,"Low",IF(HR_Data[[#This Row],[MonthlyIncome]]&lt;=7000,"Medium","High"))</f>
        <v>Medium</v>
      </c>
      <c r="AL13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8" spans="1:38" hidden="1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tr">
        <f>IF(HR_Data[[#This Row],[Age]]&lt;30,"Under 30",IF(HR_Data[[#This Row],[Age]]&lt;=40,"30-40",IF(HR_Data[[#This Row],[Age]]&lt;=50,"41-50","50+")))</f>
        <v>50+</v>
      </c>
      <c r="AK138" t="str">
        <f>IF(HR_Data[[#This Row],[MonthlyIncome]]&lt;4000,"Low",IF(HR_Data[[#This Row],[MonthlyIncome]]&lt;=7000,"Medium","High"))</f>
        <v>High</v>
      </c>
      <c r="AL13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9" spans="1:38" hidden="1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tr">
        <f>IF(HR_Data[[#This Row],[Age]]&lt;30,"Under 30",IF(HR_Data[[#This Row],[Age]]&lt;=40,"30-40",IF(HR_Data[[#This Row],[Age]]&lt;=50,"41-50","50+")))</f>
        <v>30-40</v>
      </c>
      <c r="AK139" t="str">
        <f>IF(HR_Data[[#This Row],[MonthlyIncome]]&lt;4000,"Low",IF(HR_Data[[#This Row],[MonthlyIncome]]&lt;=7000,"Medium","High"))</f>
        <v>Medium</v>
      </c>
      <c r="AL139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40" spans="1:38" hidden="1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tr">
        <f>IF(HR_Data[[#This Row],[Age]]&lt;30,"Under 30",IF(HR_Data[[#This Row],[Age]]&lt;=40,"30-40",IF(HR_Data[[#This Row],[Age]]&lt;=50,"41-50","50+")))</f>
        <v>Under 30</v>
      </c>
      <c r="AK140" t="str">
        <f>IF(HR_Data[[#This Row],[MonthlyIncome]]&lt;4000,"Low",IF(HR_Data[[#This Row],[MonthlyIncome]]&lt;=7000,"Medium","High"))</f>
        <v>High</v>
      </c>
      <c r="AL14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41" spans="1:38" hidden="1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tr">
        <f>IF(HR_Data[[#This Row],[Age]]&lt;30,"Under 30",IF(HR_Data[[#This Row],[Age]]&lt;=40,"30-40",IF(HR_Data[[#This Row],[Age]]&lt;=50,"41-50","50+")))</f>
        <v>30-40</v>
      </c>
      <c r="AK141" t="str">
        <f>IF(HR_Data[[#This Row],[MonthlyIncome]]&lt;4000,"Low",IF(HR_Data[[#This Row],[MonthlyIncome]]&lt;=7000,"Medium","High"))</f>
        <v>Medium</v>
      </c>
      <c r="AL141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42" spans="1:38" hidden="1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tr">
        <f>IF(HR_Data[[#This Row],[Age]]&lt;30,"Under 30",IF(HR_Data[[#This Row],[Age]]&lt;=40,"30-40",IF(HR_Data[[#This Row],[Age]]&lt;=50,"41-50","50+")))</f>
        <v>30-40</v>
      </c>
      <c r="AK142" t="str">
        <f>IF(HR_Data[[#This Row],[MonthlyIncome]]&lt;4000,"Low",IF(HR_Data[[#This Row],[MonthlyIncome]]&lt;=7000,"Medium","High"))</f>
        <v>Medium</v>
      </c>
      <c r="AL14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43" spans="1:38" hidden="1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tr">
        <f>IF(HR_Data[[#This Row],[Age]]&lt;30,"Under 30",IF(HR_Data[[#This Row],[Age]]&lt;=40,"30-40",IF(HR_Data[[#This Row],[Age]]&lt;=50,"41-50","50+")))</f>
        <v>41-50</v>
      </c>
      <c r="AK143" t="str">
        <f>IF(HR_Data[[#This Row],[MonthlyIncome]]&lt;4000,"Low",IF(HR_Data[[#This Row],[MonthlyIncome]]&lt;=7000,"Medium","High"))</f>
        <v>Low</v>
      </c>
      <c r="AL14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44" spans="1:38" hidden="1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tr">
        <f>IF(HR_Data[[#This Row],[Age]]&lt;30,"Under 30",IF(HR_Data[[#This Row],[Age]]&lt;=40,"30-40",IF(HR_Data[[#This Row],[Age]]&lt;=50,"41-50","50+")))</f>
        <v>30-40</v>
      </c>
      <c r="AK144" t="str">
        <f>IF(HR_Data[[#This Row],[MonthlyIncome]]&lt;4000,"Low",IF(HR_Data[[#This Row],[MonthlyIncome]]&lt;=7000,"Medium","High"))</f>
        <v>Medium</v>
      </c>
      <c r="AL14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45" spans="1:38" hidden="1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tr">
        <f>IF(HR_Data[[#This Row],[Age]]&lt;30,"Under 30",IF(HR_Data[[#This Row],[Age]]&lt;=40,"30-40",IF(HR_Data[[#This Row],[Age]]&lt;=50,"41-50","50+")))</f>
        <v>30-40</v>
      </c>
      <c r="AK145" t="str">
        <f>IF(HR_Data[[#This Row],[MonthlyIncome]]&lt;4000,"Low",IF(HR_Data[[#This Row],[MonthlyIncome]]&lt;=7000,"Medium","High"))</f>
        <v>Low</v>
      </c>
      <c r="AL14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46" spans="1:38" hidden="1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tr">
        <f>IF(HR_Data[[#This Row],[Age]]&lt;30,"Under 30",IF(HR_Data[[#This Row],[Age]]&lt;=40,"30-40",IF(HR_Data[[#This Row],[Age]]&lt;=50,"41-50","50+")))</f>
        <v>30-40</v>
      </c>
      <c r="AK146" t="str">
        <f>IF(HR_Data[[#This Row],[MonthlyIncome]]&lt;4000,"Low",IF(HR_Data[[#This Row],[MonthlyIncome]]&lt;=7000,"Medium","High"))</f>
        <v>Medium</v>
      </c>
      <c r="AL14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47" spans="1:38" hidden="1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tr">
        <f>IF(HR_Data[[#This Row],[Age]]&lt;30,"Under 30",IF(HR_Data[[#This Row],[Age]]&lt;=40,"30-40",IF(HR_Data[[#This Row],[Age]]&lt;=50,"41-50","50+")))</f>
        <v>30-40</v>
      </c>
      <c r="AK147" t="str">
        <f>IF(HR_Data[[#This Row],[MonthlyIncome]]&lt;4000,"Low",IF(HR_Data[[#This Row],[MonthlyIncome]]&lt;=7000,"Medium","High"))</f>
        <v>Low</v>
      </c>
      <c r="AL14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48" spans="1:38" hidden="1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tr">
        <f>IF(HR_Data[[#This Row],[Age]]&lt;30,"Under 30",IF(HR_Data[[#This Row],[Age]]&lt;=40,"30-40",IF(HR_Data[[#This Row],[Age]]&lt;=50,"41-50","50+")))</f>
        <v>30-40</v>
      </c>
      <c r="AK148" t="str">
        <f>IF(HR_Data[[#This Row],[MonthlyIncome]]&lt;4000,"Low",IF(HR_Data[[#This Row],[MonthlyIncome]]&lt;=7000,"Medium","High"))</f>
        <v>Low</v>
      </c>
      <c r="AL14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49" spans="1:38" hidden="1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tr">
        <f>IF(HR_Data[[#This Row],[Age]]&lt;30,"Under 30",IF(HR_Data[[#This Row],[Age]]&lt;=40,"30-40",IF(HR_Data[[#This Row],[Age]]&lt;=50,"41-50","50+")))</f>
        <v>41-50</v>
      </c>
      <c r="AK149" t="str">
        <f>IF(HR_Data[[#This Row],[MonthlyIncome]]&lt;4000,"Low",IF(HR_Data[[#This Row],[MonthlyIncome]]&lt;=7000,"Medium","High"))</f>
        <v>High</v>
      </c>
      <c r="AL149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50" spans="1:38" hidden="1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tr">
        <f>IF(HR_Data[[#This Row],[Age]]&lt;30,"Under 30",IF(HR_Data[[#This Row],[Age]]&lt;=40,"30-40",IF(HR_Data[[#This Row],[Age]]&lt;=50,"41-50","50+")))</f>
        <v>41-50</v>
      </c>
      <c r="AK150" t="str">
        <f>IF(HR_Data[[#This Row],[MonthlyIncome]]&lt;4000,"Low",IF(HR_Data[[#This Row],[MonthlyIncome]]&lt;=7000,"Medium","High"))</f>
        <v>Low</v>
      </c>
      <c r="AL15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51" spans="1:38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tr">
        <f>IF(HR_Data[[#This Row],[Age]]&lt;30,"Under 30",IF(HR_Data[[#This Row],[Age]]&lt;=40,"30-40",IF(HR_Data[[#This Row],[Age]]&lt;=50,"41-50","50+")))</f>
        <v>Under 30</v>
      </c>
      <c r="AK151" t="str">
        <f>IF(HR_Data[[#This Row],[MonthlyIncome]]&lt;4000,"Low",IF(HR_Data[[#This Row],[MonthlyIncome]]&lt;=7000,"Medium","High"))</f>
        <v>Low</v>
      </c>
      <c r="AL151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52" spans="1:38" hidden="1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tr">
        <f>IF(HR_Data[[#This Row],[Age]]&lt;30,"Under 30",IF(HR_Data[[#This Row],[Age]]&lt;=40,"30-40",IF(HR_Data[[#This Row],[Age]]&lt;=50,"41-50","50+")))</f>
        <v>30-40</v>
      </c>
      <c r="AK152" t="str">
        <f>IF(HR_Data[[#This Row],[MonthlyIncome]]&lt;4000,"Low",IF(HR_Data[[#This Row],[MonthlyIncome]]&lt;=7000,"Medium","High"))</f>
        <v>Medium</v>
      </c>
      <c r="AL152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53" spans="1:38" hidden="1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tr">
        <f>IF(HR_Data[[#This Row],[Age]]&lt;30,"Under 30",IF(HR_Data[[#This Row],[Age]]&lt;=40,"30-40",IF(HR_Data[[#This Row],[Age]]&lt;=50,"41-50","50+")))</f>
        <v>30-40</v>
      </c>
      <c r="AK153" t="str">
        <f>IF(HR_Data[[#This Row],[MonthlyIncome]]&lt;4000,"Low",IF(HR_Data[[#This Row],[MonthlyIncome]]&lt;=7000,"Medium","High"))</f>
        <v>High</v>
      </c>
      <c r="AL15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54" spans="1:38" hidden="1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tr">
        <f>IF(HR_Data[[#This Row],[Age]]&lt;30,"Under 30",IF(HR_Data[[#This Row],[Age]]&lt;=40,"30-40",IF(HR_Data[[#This Row],[Age]]&lt;=50,"41-50","50+")))</f>
        <v>50+</v>
      </c>
      <c r="AK154" t="str">
        <f>IF(HR_Data[[#This Row],[MonthlyIncome]]&lt;4000,"Low",IF(HR_Data[[#This Row],[MonthlyIncome]]&lt;=7000,"Medium","High"))</f>
        <v>Low</v>
      </c>
      <c r="AL15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55" spans="1:38" hidden="1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tr">
        <f>IF(HR_Data[[#This Row],[Age]]&lt;30,"Under 30",IF(HR_Data[[#This Row],[Age]]&lt;=40,"30-40",IF(HR_Data[[#This Row],[Age]]&lt;=50,"41-50","50+")))</f>
        <v>41-50</v>
      </c>
      <c r="AK155" t="str">
        <f>IF(HR_Data[[#This Row],[MonthlyIncome]]&lt;4000,"Low",IF(HR_Data[[#This Row],[MonthlyIncome]]&lt;=7000,"Medium","High"))</f>
        <v>Low</v>
      </c>
      <c r="AL155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56" spans="1:38" hidden="1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tr">
        <f>IF(HR_Data[[#This Row],[Age]]&lt;30,"Under 30",IF(HR_Data[[#This Row],[Age]]&lt;=40,"30-40",IF(HR_Data[[#This Row],[Age]]&lt;=50,"41-50","50+")))</f>
        <v>30-40</v>
      </c>
      <c r="AK156" t="str">
        <f>IF(HR_Data[[#This Row],[MonthlyIncome]]&lt;4000,"Low",IF(HR_Data[[#This Row],[MonthlyIncome]]&lt;=7000,"Medium","High"))</f>
        <v>High</v>
      </c>
      <c r="AL15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57" spans="1:38" hidden="1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tr">
        <f>IF(HR_Data[[#This Row],[Age]]&lt;30,"Under 30",IF(HR_Data[[#This Row],[Age]]&lt;=40,"30-40",IF(HR_Data[[#This Row],[Age]]&lt;=50,"41-50","50+")))</f>
        <v>Under 30</v>
      </c>
      <c r="AK157" t="str">
        <f>IF(HR_Data[[#This Row],[MonthlyIncome]]&lt;4000,"Low",IF(HR_Data[[#This Row],[MonthlyIncome]]&lt;=7000,"Medium","High"))</f>
        <v>Medium</v>
      </c>
      <c r="AL15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58" spans="1:38" hidden="1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tr">
        <f>IF(HR_Data[[#This Row],[Age]]&lt;30,"Under 30",IF(HR_Data[[#This Row],[Age]]&lt;=40,"30-40",IF(HR_Data[[#This Row],[Age]]&lt;=50,"41-50","50+")))</f>
        <v>50+</v>
      </c>
      <c r="AK158" t="str">
        <f>IF(HR_Data[[#This Row],[MonthlyIncome]]&lt;4000,"Low",IF(HR_Data[[#This Row],[MonthlyIncome]]&lt;=7000,"Medium","High"))</f>
        <v>Medium</v>
      </c>
      <c r="AL158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59" spans="1:38" hidden="1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tr">
        <f>IF(HR_Data[[#This Row],[Age]]&lt;30,"Under 30",IF(HR_Data[[#This Row],[Age]]&lt;=40,"30-40",IF(HR_Data[[#This Row],[Age]]&lt;=50,"41-50","50+")))</f>
        <v>50+</v>
      </c>
      <c r="AK159" t="str">
        <f>IF(HR_Data[[#This Row],[MonthlyIncome]]&lt;4000,"Low",IF(HR_Data[[#This Row],[MonthlyIncome]]&lt;=7000,"Medium","High"))</f>
        <v>Low</v>
      </c>
      <c r="AL159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60" spans="1:38" hidden="1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tr">
        <f>IF(HR_Data[[#This Row],[Age]]&lt;30,"Under 30",IF(HR_Data[[#This Row],[Age]]&lt;=40,"30-40",IF(HR_Data[[#This Row],[Age]]&lt;=50,"41-50","50+")))</f>
        <v>30-40</v>
      </c>
      <c r="AK160" t="str">
        <f>IF(HR_Data[[#This Row],[MonthlyIncome]]&lt;4000,"Low",IF(HR_Data[[#This Row],[MonthlyIncome]]&lt;=7000,"Medium","High"))</f>
        <v>High</v>
      </c>
      <c r="AL160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61" spans="1:38" hidden="1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tr">
        <f>IF(HR_Data[[#This Row],[Age]]&lt;30,"Under 30",IF(HR_Data[[#This Row],[Age]]&lt;=40,"30-40",IF(HR_Data[[#This Row],[Age]]&lt;=50,"41-50","50+")))</f>
        <v>30-40</v>
      </c>
      <c r="AK161" t="str">
        <f>IF(HR_Data[[#This Row],[MonthlyIncome]]&lt;4000,"Low",IF(HR_Data[[#This Row],[MonthlyIncome]]&lt;=7000,"Medium","High"))</f>
        <v>Low</v>
      </c>
      <c r="AL16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62" spans="1:38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tr">
        <f>IF(HR_Data[[#This Row],[Age]]&lt;30,"Under 30",IF(HR_Data[[#This Row],[Age]]&lt;=40,"30-40",IF(HR_Data[[#This Row],[Age]]&lt;=50,"41-50","50+")))</f>
        <v>Under 30</v>
      </c>
      <c r="AK162" t="str">
        <f>IF(HR_Data[[#This Row],[MonthlyIncome]]&lt;4000,"Low",IF(HR_Data[[#This Row],[MonthlyIncome]]&lt;=7000,"Medium","High"))</f>
        <v>Low</v>
      </c>
      <c r="AL16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63" spans="1:38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tr">
        <f>IF(HR_Data[[#This Row],[Age]]&lt;30,"Under 30",IF(HR_Data[[#This Row],[Age]]&lt;=40,"30-40",IF(HR_Data[[#This Row],[Age]]&lt;=50,"41-50","50+")))</f>
        <v>Under 30</v>
      </c>
      <c r="AK163" t="str">
        <f>IF(HR_Data[[#This Row],[MonthlyIncome]]&lt;4000,"Low",IF(HR_Data[[#This Row],[MonthlyIncome]]&lt;=7000,"Medium","High"))</f>
        <v>Low</v>
      </c>
      <c r="AL16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64" spans="1:38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tr">
        <f>IF(HR_Data[[#This Row],[Age]]&lt;30,"Under 30",IF(HR_Data[[#This Row],[Age]]&lt;=40,"30-40",IF(HR_Data[[#This Row],[Age]]&lt;=50,"41-50","50+")))</f>
        <v>Under 30</v>
      </c>
      <c r="AK164" t="str">
        <f>IF(HR_Data[[#This Row],[MonthlyIncome]]&lt;4000,"Low",IF(HR_Data[[#This Row],[MonthlyIncome]]&lt;=7000,"Medium","High"))</f>
        <v>Low</v>
      </c>
      <c r="AL16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65" spans="1:38" hidden="1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tr">
        <f>IF(HR_Data[[#This Row],[Age]]&lt;30,"Under 30",IF(HR_Data[[#This Row],[Age]]&lt;=40,"30-40",IF(HR_Data[[#This Row],[Age]]&lt;=50,"41-50","50+")))</f>
        <v>50+</v>
      </c>
      <c r="AK165" t="str">
        <f>IF(HR_Data[[#This Row],[MonthlyIncome]]&lt;4000,"Low",IF(HR_Data[[#This Row],[MonthlyIncome]]&lt;=7000,"Medium","High"))</f>
        <v>High</v>
      </c>
      <c r="AL16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66" spans="1:38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tr">
        <f>IF(HR_Data[[#This Row],[Age]]&lt;30,"Under 30",IF(HR_Data[[#This Row],[Age]]&lt;=40,"30-40",IF(HR_Data[[#This Row],[Age]]&lt;=50,"41-50","50+")))</f>
        <v>Under 30</v>
      </c>
      <c r="AK166" t="str">
        <f>IF(HR_Data[[#This Row],[MonthlyIncome]]&lt;4000,"Low",IF(HR_Data[[#This Row],[MonthlyIncome]]&lt;=7000,"Medium","High"))</f>
        <v>Low</v>
      </c>
      <c r="AL166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67" spans="1:38" hidden="1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tr">
        <f>IF(HR_Data[[#This Row],[Age]]&lt;30,"Under 30",IF(HR_Data[[#This Row],[Age]]&lt;=40,"30-40",IF(HR_Data[[#This Row],[Age]]&lt;=50,"41-50","50+")))</f>
        <v>41-50</v>
      </c>
      <c r="AK167" t="str">
        <f>IF(HR_Data[[#This Row],[MonthlyIncome]]&lt;4000,"Low",IF(HR_Data[[#This Row],[MonthlyIncome]]&lt;=7000,"Medium","High"))</f>
        <v>High</v>
      </c>
      <c r="AL16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68" spans="1:38" hidden="1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tr">
        <f>IF(HR_Data[[#This Row],[Age]]&lt;30,"Under 30",IF(HR_Data[[#This Row],[Age]]&lt;=40,"30-40",IF(HR_Data[[#This Row],[Age]]&lt;=50,"41-50","50+")))</f>
        <v>41-50</v>
      </c>
      <c r="AK168" t="str">
        <f>IF(HR_Data[[#This Row],[MonthlyIncome]]&lt;4000,"Low",IF(HR_Data[[#This Row],[MonthlyIncome]]&lt;=7000,"Medium","High"))</f>
        <v>Low</v>
      </c>
      <c r="AL16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69" spans="1:38" hidden="1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tr">
        <f>IF(HR_Data[[#This Row],[Age]]&lt;30,"Under 30",IF(HR_Data[[#This Row],[Age]]&lt;=40,"30-40",IF(HR_Data[[#This Row],[Age]]&lt;=50,"41-50","50+")))</f>
        <v>30-40</v>
      </c>
      <c r="AK169" t="str">
        <f>IF(HR_Data[[#This Row],[MonthlyIncome]]&lt;4000,"Low",IF(HR_Data[[#This Row],[MonthlyIncome]]&lt;=7000,"Medium","High"))</f>
        <v>High</v>
      </c>
      <c r="AL169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70" spans="1:38" hidden="1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tr">
        <f>IF(HR_Data[[#This Row],[Age]]&lt;30,"Under 30",IF(HR_Data[[#This Row],[Age]]&lt;=40,"30-40",IF(HR_Data[[#This Row],[Age]]&lt;=50,"41-50","50+")))</f>
        <v>30-40</v>
      </c>
      <c r="AK170" t="str">
        <f>IF(HR_Data[[#This Row],[MonthlyIncome]]&lt;4000,"Low",IF(HR_Data[[#This Row],[MonthlyIncome]]&lt;=7000,"Medium","High"))</f>
        <v>High</v>
      </c>
      <c r="AL17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71" spans="1:38" hidden="1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tr">
        <f>IF(HR_Data[[#This Row],[Age]]&lt;30,"Under 30",IF(HR_Data[[#This Row],[Age]]&lt;=40,"30-40",IF(HR_Data[[#This Row],[Age]]&lt;=50,"41-50","50+")))</f>
        <v>30-40</v>
      </c>
      <c r="AK171" t="str">
        <f>IF(HR_Data[[#This Row],[MonthlyIncome]]&lt;4000,"Low",IF(HR_Data[[#This Row],[MonthlyIncome]]&lt;=7000,"Medium","High"))</f>
        <v>Low</v>
      </c>
      <c r="AL17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72" spans="1:38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tr">
        <f>IF(HR_Data[[#This Row],[Age]]&lt;30,"Under 30",IF(HR_Data[[#This Row],[Age]]&lt;=40,"30-40",IF(HR_Data[[#This Row],[Age]]&lt;=50,"41-50","50+")))</f>
        <v>Under 30</v>
      </c>
      <c r="AK172" t="str">
        <f>IF(HR_Data[[#This Row],[MonthlyIncome]]&lt;4000,"Low",IF(HR_Data[[#This Row],[MonthlyIncome]]&lt;=7000,"Medium","High"))</f>
        <v>Low</v>
      </c>
      <c r="AL17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73" spans="1:38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tr">
        <f>IF(HR_Data[[#This Row],[Age]]&lt;30,"Under 30",IF(HR_Data[[#This Row],[Age]]&lt;=40,"30-40",IF(HR_Data[[#This Row],[Age]]&lt;=50,"41-50","50+")))</f>
        <v>Under 30</v>
      </c>
      <c r="AK173" t="str">
        <f>IF(HR_Data[[#This Row],[MonthlyIncome]]&lt;4000,"Low",IF(HR_Data[[#This Row],[MonthlyIncome]]&lt;=7000,"Medium","High"))</f>
        <v>Low</v>
      </c>
      <c r="AL173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74" spans="1:38" hidden="1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tr">
        <f>IF(HR_Data[[#This Row],[Age]]&lt;30,"Under 30",IF(HR_Data[[#This Row],[Age]]&lt;=40,"30-40",IF(HR_Data[[#This Row],[Age]]&lt;=50,"41-50","50+")))</f>
        <v>30-40</v>
      </c>
      <c r="AK174" t="str">
        <f>IF(HR_Data[[#This Row],[MonthlyIncome]]&lt;4000,"Low",IF(HR_Data[[#This Row],[MonthlyIncome]]&lt;=7000,"Medium","High"))</f>
        <v>Low</v>
      </c>
      <c r="AL17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75" spans="1:38" hidden="1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tr">
        <f>IF(HR_Data[[#This Row],[Age]]&lt;30,"Under 30",IF(HR_Data[[#This Row],[Age]]&lt;=40,"30-40",IF(HR_Data[[#This Row],[Age]]&lt;=50,"41-50","50+")))</f>
        <v>30-40</v>
      </c>
      <c r="AK175" t="str">
        <f>IF(HR_Data[[#This Row],[MonthlyIncome]]&lt;4000,"Low",IF(HR_Data[[#This Row],[MonthlyIncome]]&lt;=7000,"Medium","High"))</f>
        <v>Low</v>
      </c>
      <c r="AL175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76" spans="1:38" hidden="1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tr">
        <f>IF(HR_Data[[#This Row],[Age]]&lt;30,"Under 30",IF(HR_Data[[#This Row],[Age]]&lt;=40,"30-40",IF(HR_Data[[#This Row],[Age]]&lt;=50,"41-50","50+")))</f>
        <v>41-50</v>
      </c>
      <c r="AK176" t="str">
        <f>IF(HR_Data[[#This Row],[MonthlyIncome]]&lt;4000,"Low",IF(HR_Data[[#This Row],[MonthlyIncome]]&lt;=7000,"Medium","High"))</f>
        <v>Medium</v>
      </c>
      <c r="AL17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77" spans="1:38" hidden="1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tr">
        <f>IF(HR_Data[[#This Row],[Age]]&lt;30,"Under 30",IF(HR_Data[[#This Row],[Age]]&lt;=40,"30-40",IF(HR_Data[[#This Row],[Age]]&lt;=50,"41-50","50+")))</f>
        <v>50+</v>
      </c>
      <c r="AK177" t="str">
        <f>IF(HR_Data[[#This Row],[MonthlyIncome]]&lt;4000,"Low",IF(HR_Data[[#This Row],[MonthlyIncome]]&lt;=7000,"Medium","High"))</f>
        <v>Medium</v>
      </c>
      <c r="AL17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78" spans="1:38" hidden="1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tr">
        <f>IF(HR_Data[[#This Row],[Age]]&lt;30,"Under 30",IF(HR_Data[[#This Row],[Age]]&lt;=40,"30-40",IF(HR_Data[[#This Row],[Age]]&lt;=50,"41-50","50+")))</f>
        <v>30-40</v>
      </c>
      <c r="AK178" t="str">
        <f>IF(HR_Data[[#This Row],[MonthlyIncome]]&lt;4000,"Low",IF(HR_Data[[#This Row],[MonthlyIncome]]&lt;=7000,"Medium","High"))</f>
        <v>Low</v>
      </c>
      <c r="AL17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79" spans="1:38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tr">
        <f>IF(HR_Data[[#This Row],[Age]]&lt;30,"Under 30",IF(HR_Data[[#This Row],[Age]]&lt;=40,"30-40",IF(HR_Data[[#This Row],[Age]]&lt;=50,"41-50","50+")))</f>
        <v>Under 30</v>
      </c>
      <c r="AK179" t="str">
        <f>IF(HR_Data[[#This Row],[MonthlyIncome]]&lt;4000,"Low",IF(HR_Data[[#This Row],[MonthlyIncome]]&lt;=7000,"Medium","High"))</f>
        <v>Low</v>
      </c>
      <c r="AL179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80" spans="1:38" hidden="1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tr">
        <f>IF(HR_Data[[#This Row],[Age]]&lt;30,"Under 30",IF(HR_Data[[#This Row],[Age]]&lt;=40,"30-40",IF(HR_Data[[#This Row],[Age]]&lt;=50,"41-50","50+")))</f>
        <v>41-50</v>
      </c>
      <c r="AK180" t="str">
        <f>IF(HR_Data[[#This Row],[MonthlyIncome]]&lt;4000,"Low",IF(HR_Data[[#This Row],[MonthlyIncome]]&lt;=7000,"Medium","High"))</f>
        <v>High</v>
      </c>
      <c r="AL180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81" spans="1:38" hidden="1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tr">
        <f>IF(HR_Data[[#This Row],[Age]]&lt;30,"Under 30",IF(HR_Data[[#This Row],[Age]]&lt;=40,"30-40",IF(HR_Data[[#This Row],[Age]]&lt;=50,"41-50","50+")))</f>
        <v>30-40</v>
      </c>
      <c r="AK181" t="str">
        <f>IF(HR_Data[[#This Row],[MonthlyIncome]]&lt;4000,"Low",IF(HR_Data[[#This Row],[MonthlyIncome]]&lt;=7000,"Medium","High"))</f>
        <v>Low</v>
      </c>
      <c r="AL18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82" spans="1:38" hidden="1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tr">
        <f>IF(HR_Data[[#This Row],[Age]]&lt;30,"Under 30",IF(HR_Data[[#This Row],[Age]]&lt;=40,"30-40",IF(HR_Data[[#This Row],[Age]]&lt;=50,"41-50","50+")))</f>
        <v>30-40</v>
      </c>
      <c r="AK182" t="str">
        <f>IF(HR_Data[[#This Row],[MonthlyIncome]]&lt;4000,"Low",IF(HR_Data[[#This Row],[MonthlyIncome]]&lt;=7000,"Medium","High"))</f>
        <v>Low</v>
      </c>
      <c r="AL18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83" spans="1:38" hidden="1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tr">
        <f>IF(HR_Data[[#This Row],[Age]]&lt;30,"Under 30",IF(HR_Data[[#This Row],[Age]]&lt;=40,"30-40",IF(HR_Data[[#This Row],[Age]]&lt;=50,"41-50","50+")))</f>
        <v>30-40</v>
      </c>
      <c r="AK183" t="str">
        <f>IF(HR_Data[[#This Row],[MonthlyIncome]]&lt;4000,"Low",IF(HR_Data[[#This Row],[MonthlyIncome]]&lt;=7000,"Medium","High"))</f>
        <v>Low</v>
      </c>
      <c r="AL18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84" spans="1:38" hidden="1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tr">
        <f>IF(HR_Data[[#This Row],[Age]]&lt;30,"Under 30",IF(HR_Data[[#This Row],[Age]]&lt;=40,"30-40",IF(HR_Data[[#This Row],[Age]]&lt;=50,"41-50","50+")))</f>
        <v>41-50</v>
      </c>
      <c r="AK184" t="str">
        <f>IF(HR_Data[[#This Row],[MonthlyIncome]]&lt;4000,"Low",IF(HR_Data[[#This Row],[MonthlyIncome]]&lt;=7000,"Medium","High"))</f>
        <v>Low</v>
      </c>
      <c r="AL18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85" spans="1:38" hidden="1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tr">
        <f>IF(HR_Data[[#This Row],[Age]]&lt;30,"Under 30",IF(HR_Data[[#This Row],[Age]]&lt;=40,"30-40",IF(HR_Data[[#This Row],[Age]]&lt;=50,"41-50","50+")))</f>
        <v>41-50</v>
      </c>
      <c r="AK185" t="str">
        <f>IF(HR_Data[[#This Row],[MonthlyIncome]]&lt;4000,"Low",IF(HR_Data[[#This Row],[MonthlyIncome]]&lt;=7000,"Medium","High"))</f>
        <v>Low</v>
      </c>
      <c r="AL18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86" spans="1:38" hidden="1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tr">
        <f>IF(HR_Data[[#This Row],[Age]]&lt;30,"Under 30",IF(HR_Data[[#This Row],[Age]]&lt;=40,"30-40",IF(HR_Data[[#This Row],[Age]]&lt;=50,"41-50","50+")))</f>
        <v>50+</v>
      </c>
      <c r="AK186" t="str">
        <f>IF(HR_Data[[#This Row],[MonthlyIncome]]&lt;4000,"Low",IF(HR_Data[[#This Row],[MonthlyIncome]]&lt;=7000,"Medium","High"))</f>
        <v>Medium</v>
      </c>
      <c r="AL18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87" spans="1:38" hidden="1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tr">
        <f>IF(HR_Data[[#This Row],[Age]]&lt;30,"Under 30",IF(HR_Data[[#This Row],[Age]]&lt;=40,"30-40",IF(HR_Data[[#This Row],[Age]]&lt;=50,"41-50","50+")))</f>
        <v>30-40</v>
      </c>
      <c r="AK187" t="str">
        <f>IF(HR_Data[[#This Row],[MonthlyIncome]]&lt;4000,"Low",IF(HR_Data[[#This Row],[MonthlyIncome]]&lt;=7000,"Medium","High"))</f>
        <v>Low</v>
      </c>
      <c r="AL18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88" spans="1:38" hidden="1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tr">
        <f>IF(HR_Data[[#This Row],[Age]]&lt;30,"Under 30",IF(HR_Data[[#This Row],[Age]]&lt;=40,"30-40",IF(HR_Data[[#This Row],[Age]]&lt;=50,"41-50","50+")))</f>
        <v>30-40</v>
      </c>
      <c r="AK188" t="str">
        <f>IF(HR_Data[[#This Row],[MonthlyIncome]]&lt;4000,"Low",IF(HR_Data[[#This Row],[MonthlyIncome]]&lt;=7000,"Medium","High"))</f>
        <v>High</v>
      </c>
      <c r="AL188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89" spans="1:38" hidden="1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tr">
        <f>IF(HR_Data[[#This Row],[Age]]&lt;30,"Under 30",IF(HR_Data[[#This Row],[Age]]&lt;=40,"30-40",IF(HR_Data[[#This Row],[Age]]&lt;=50,"41-50","50+")))</f>
        <v>50+</v>
      </c>
      <c r="AK189" t="str">
        <f>IF(HR_Data[[#This Row],[MonthlyIncome]]&lt;4000,"Low",IF(HR_Data[[#This Row],[MonthlyIncome]]&lt;=7000,"Medium","High"))</f>
        <v>High</v>
      </c>
      <c r="AL189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90" spans="1:38" hidden="1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tr">
        <f>IF(HR_Data[[#This Row],[Age]]&lt;30,"Under 30",IF(HR_Data[[#This Row],[Age]]&lt;=40,"30-40",IF(HR_Data[[#This Row],[Age]]&lt;=50,"41-50","50+")))</f>
        <v>30-40</v>
      </c>
      <c r="AK190" t="str">
        <f>IF(HR_Data[[#This Row],[MonthlyIncome]]&lt;4000,"Low",IF(HR_Data[[#This Row],[MonthlyIncome]]&lt;=7000,"Medium","High"))</f>
        <v>High</v>
      </c>
      <c r="AL19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91" spans="1:38" hidden="1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tr">
        <f>IF(HR_Data[[#This Row],[Age]]&lt;30,"Under 30",IF(HR_Data[[#This Row],[Age]]&lt;=40,"30-40",IF(HR_Data[[#This Row],[Age]]&lt;=50,"41-50","50+")))</f>
        <v>50+</v>
      </c>
      <c r="AK191" t="str">
        <f>IF(HR_Data[[#This Row],[MonthlyIncome]]&lt;4000,"Low",IF(HR_Data[[#This Row],[MonthlyIncome]]&lt;=7000,"Medium","High"))</f>
        <v>High</v>
      </c>
      <c r="AL19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92" spans="1:38" hidden="1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tr">
        <f>IF(HR_Data[[#This Row],[Age]]&lt;30,"Under 30",IF(HR_Data[[#This Row],[Age]]&lt;=40,"30-40",IF(HR_Data[[#This Row],[Age]]&lt;=50,"41-50","50+")))</f>
        <v>50+</v>
      </c>
      <c r="AK192" t="str">
        <f>IF(HR_Data[[#This Row],[MonthlyIncome]]&lt;4000,"Low",IF(HR_Data[[#This Row],[MonthlyIncome]]&lt;=7000,"Medium","High"))</f>
        <v>High</v>
      </c>
      <c r="AL192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93" spans="1:38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tr">
        <f>IF(HR_Data[[#This Row],[Age]]&lt;30,"Under 30",IF(HR_Data[[#This Row],[Age]]&lt;=40,"30-40",IF(HR_Data[[#This Row],[Age]]&lt;=50,"41-50","50+")))</f>
        <v>Under 30</v>
      </c>
      <c r="AK193" t="str">
        <f>IF(HR_Data[[#This Row],[MonthlyIncome]]&lt;4000,"Low",IF(HR_Data[[#This Row],[MonthlyIncome]]&lt;=7000,"Medium","High"))</f>
        <v>Low</v>
      </c>
      <c r="AL19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94" spans="1:38" hidden="1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tr">
        <f>IF(HR_Data[[#This Row],[Age]]&lt;30,"Under 30",IF(HR_Data[[#This Row],[Age]]&lt;=40,"30-40",IF(HR_Data[[#This Row],[Age]]&lt;=50,"41-50","50+")))</f>
        <v>30-40</v>
      </c>
      <c r="AK194" t="str">
        <f>IF(HR_Data[[#This Row],[MonthlyIncome]]&lt;4000,"Low",IF(HR_Data[[#This Row],[MonthlyIncome]]&lt;=7000,"Medium","High"))</f>
        <v>Medium</v>
      </c>
      <c r="AL194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95" spans="1:38" hidden="1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tr">
        <f>IF(HR_Data[[#This Row],[Age]]&lt;30,"Under 30",IF(HR_Data[[#This Row],[Age]]&lt;=40,"30-40",IF(HR_Data[[#This Row],[Age]]&lt;=50,"41-50","50+")))</f>
        <v>41-50</v>
      </c>
      <c r="AK195" t="str">
        <f>IF(HR_Data[[#This Row],[MonthlyIncome]]&lt;4000,"Low",IF(HR_Data[[#This Row],[MonthlyIncome]]&lt;=7000,"Medium","High"))</f>
        <v>Low</v>
      </c>
      <c r="AL19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96" spans="1:38" hidden="1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tr">
        <f>IF(HR_Data[[#This Row],[Age]]&lt;30,"Under 30",IF(HR_Data[[#This Row],[Age]]&lt;=40,"30-40",IF(HR_Data[[#This Row],[Age]]&lt;=50,"41-50","50+")))</f>
        <v>41-50</v>
      </c>
      <c r="AK196" t="str">
        <f>IF(HR_Data[[#This Row],[MonthlyIncome]]&lt;4000,"Low",IF(HR_Data[[#This Row],[MonthlyIncome]]&lt;=7000,"Medium","High"))</f>
        <v>High</v>
      </c>
      <c r="AL196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97" spans="1:38" hidden="1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tr">
        <f>IF(HR_Data[[#This Row],[Age]]&lt;30,"Under 30",IF(HR_Data[[#This Row],[Age]]&lt;=40,"30-40",IF(HR_Data[[#This Row],[Age]]&lt;=50,"41-50","50+")))</f>
        <v>30-40</v>
      </c>
      <c r="AK197" t="str">
        <f>IF(HR_Data[[#This Row],[MonthlyIncome]]&lt;4000,"Low",IF(HR_Data[[#This Row],[MonthlyIncome]]&lt;=7000,"Medium","High"))</f>
        <v>Low</v>
      </c>
      <c r="AL19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98" spans="1:38" hidden="1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tr">
        <f>IF(HR_Data[[#This Row],[Age]]&lt;30,"Under 30",IF(HR_Data[[#This Row],[Age]]&lt;=40,"30-40",IF(HR_Data[[#This Row],[Age]]&lt;=50,"41-50","50+")))</f>
        <v>30-40</v>
      </c>
      <c r="AK198" t="str">
        <f>IF(HR_Data[[#This Row],[MonthlyIncome]]&lt;4000,"Low",IF(HR_Data[[#This Row],[MonthlyIncome]]&lt;=7000,"Medium","High"))</f>
        <v>Medium</v>
      </c>
      <c r="AL19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99" spans="1:38" hidden="1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tr">
        <f>IF(HR_Data[[#This Row],[Age]]&lt;30,"Under 30",IF(HR_Data[[#This Row],[Age]]&lt;=40,"30-40",IF(HR_Data[[#This Row],[Age]]&lt;=50,"41-50","50+")))</f>
        <v>41-50</v>
      </c>
      <c r="AK199" t="str">
        <f>IF(HR_Data[[#This Row],[MonthlyIncome]]&lt;4000,"Low",IF(HR_Data[[#This Row],[MonthlyIncome]]&lt;=7000,"Medium","High"))</f>
        <v>Medium</v>
      </c>
      <c r="AL19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00" spans="1:38" hidden="1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tr">
        <f>IF(HR_Data[[#This Row],[Age]]&lt;30,"Under 30",IF(HR_Data[[#This Row],[Age]]&lt;=40,"30-40",IF(HR_Data[[#This Row],[Age]]&lt;=50,"41-50","50+")))</f>
        <v>30-40</v>
      </c>
      <c r="AK200" t="str">
        <f>IF(HR_Data[[#This Row],[MonthlyIncome]]&lt;4000,"Low",IF(HR_Data[[#This Row],[MonthlyIncome]]&lt;=7000,"Medium","High"))</f>
        <v>Medium</v>
      </c>
      <c r="AL200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201" spans="1:38" hidden="1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tr">
        <f>IF(HR_Data[[#This Row],[Age]]&lt;30,"Under 30",IF(HR_Data[[#This Row],[Age]]&lt;=40,"30-40",IF(HR_Data[[#This Row],[Age]]&lt;=50,"41-50","50+")))</f>
        <v>30-40</v>
      </c>
      <c r="AK201" t="str">
        <f>IF(HR_Data[[#This Row],[MonthlyIncome]]&lt;4000,"Low",IF(HR_Data[[#This Row],[MonthlyIncome]]&lt;=7000,"Medium","High"))</f>
        <v>Medium</v>
      </c>
      <c r="AL20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202" spans="1:38" hidden="1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tr">
        <f>IF(HR_Data[[#This Row],[Age]]&lt;30,"Under 30",IF(HR_Data[[#This Row],[Age]]&lt;=40,"30-40",IF(HR_Data[[#This Row],[Age]]&lt;=50,"41-50","50+")))</f>
        <v>Under 30</v>
      </c>
      <c r="AK202" t="str">
        <f>IF(HR_Data[[#This Row],[MonthlyIncome]]&lt;4000,"Low",IF(HR_Data[[#This Row],[MonthlyIncome]]&lt;=7000,"Medium","High"))</f>
        <v>Medium</v>
      </c>
      <c r="AL20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03" spans="1:38" hidden="1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tr">
        <f>IF(HR_Data[[#This Row],[Age]]&lt;30,"Under 30",IF(HR_Data[[#This Row],[Age]]&lt;=40,"30-40",IF(HR_Data[[#This Row],[Age]]&lt;=50,"41-50","50+")))</f>
        <v>41-50</v>
      </c>
      <c r="AK203" t="str">
        <f>IF(HR_Data[[#This Row],[MonthlyIncome]]&lt;4000,"Low",IF(HR_Data[[#This Row],[MonthlyIncome]]&lt;=7000,"Medium","High"))</f>
        <v>Medium</v>
      </c>
      <c r="AL20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204" spans="1:38" hidden="1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tr">
        <f>IF(HR_Data[[#This Row],[Age]]&lt;30,"Under 30",IF(HR_Data[[#This Row],[Age]]&lt;=40,"30-40",IF(HR_Data[[#This Row],[Age]]&lt;=50,"41-50","50+")))</f>
        <v>30-40</v>
      </c>
      <c r="AK204" t="str">
        <f>IF(HR_Data[[#This Row],[MonthlyIncome]]&lt;4000,"Low",IF(HR_Data[[#This Row],[MonthlyIncome]]&lt;=7000,"Medium","High"))</f>
        <v>Low</v>
      </c>
      <c r="AL20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05" spans="1:38" hidden="1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tr">
        <f>IF(HR_Data[[#This Row],[Age]]&lt;30,"Under 30",IF(HR_Data[[#This Row],[Age]]&lt;=40,"30-40",IF(HR_Data[[#This Row],[Age]]&lt;=50,"41-50","50+")))</f>
        <v>30-40</v>
      </c>
      <c r="AK205" t="str">
        <f>IF(HR_Data[[#This Row],[MonthlyIncome]]&lt;4000,"Low",IF(HR_Data[[#This Row],[MonthlyIncome]]&lt;=7000,"Medium","High"))</f>
        <v>Low</v>
      </c>
      <c r="AL20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206" spans="1:38" hidden="1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tr">
        <f>IF(HR_Data[[#This Row],[Age]]&lt;30,"Under 30",IF(HR_Data[[#This Row],[Age]]&lt;=40,"30-40",IF(HR_Data[[#This Row],[Age]]&lt;=50,"41-50","50+")))</f>
        <v>30-40</v>
      </c>
      <c r="AK206" t="str">
        <f>IF(HR_Data[[#This Row],[MonthlyIncome]]&lt;4000,"Low",IF(HR_Data[[#This Row],[MonthlyIncome]]&lt;=7000,"Medium","High"))</f>
        <v>Medium</v>
      </c>
      <c r="AL206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207" spans="1:38" hidden="1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tr">
        <f>IF(HR_Data[[#This Row],[Age]]&lt;30,"Under 30",IF(HR_Data[[#This Row],[Age]]&lt;=40,"30-40",IF(HR_Data[[#This Row],[Age]]&lt;=50,"41-50","50+")))</f>
        <v>Under 30</v>
      </c>
      <c r="AK207" t="str">
        <f>IF(HR_Data[[#This Row],[MonthlyIncome]]&lt;4000,"Low",IF(HR_Data[[#This Row],[MonthlyIncome]]&lt;=7000,"Medium","High"))</f>
        <v>High</v>
      </c>
      <c r="AL20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208" spans="1:38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tr">
        <f>IF(HR_Data[[#This Row],[Age]]&lt;30,"Under 30",IF(HR_Data[[#This Row],[Age]]&lt;=40,"30-40",IF(HR_Data[[#This Row],[Age]]&lt;=50,"41-50","50+")))</f>
        <v>Under 30</v>
      </c>
      <c r="AK208" t="str">
        <f>IF(HR_Data[[#This Row],[MonthlyIncome]]&lt;4000,"Low",IF(HR_Data[[#This Row],[MonthlyIncome]]&lt;=7000,"Medium","High"))</f>
        <v>Low</v>
      </c>
      <c r="AL20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09" spans="1:38" hidden="1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tr">
        <f>IF(HR_Data[[#This Row],[Age]]&lt;30,"Under 30",IF(HR_Data[[#This Row],[Age]]&lt;=40,"30-40",IF(HR_Data[[#This Row],[Age]]&lt;=50,"41-50","50+")))</f>
        <v>30-40</v>
      </c>
      <c r="AK209" t="str">
        <f>IF(HR_Data[[#This Row],[MonthlyIncome]]&lt;4000,"Low",IF(HR_Data[[#This Row],[MonthlyIncome]]&lt;=7000,"Medium","High"))</f>
        <v>Low</v>
      </c>
      <c r="AL209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210" spans="1:38" hidden="1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tr">
        <f>IF(HR_Data[[#This Row],[Age]]&lt;30,"Under 30",IF(HR_Data[[#This Row],[Age]]&lt;=40,"30-40",IF(HR_Data[[#This Row],[Age]]&lt;=50,"41-50","50+")))</f>
        <v>30-40</v>
      </c>
      <c r="AK210" t="str">
        <f>IF(HR_Data[[#This Row],[MonthlyIncome]]&lt;4000,"Low",IF(HR_Data[[#This Row],[MonthlyIncome]]&lt;=7000,"Medium","High"))</f>
        <v>Medium</v>
      </c>
      <c r="AL21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11" spans="1:38" hidden="1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tr">
        <f>IF(HR_Data[[#This Row],[Age]]&lt;30,"Under 30",IF(HR_Data[[#This Row],[Age]]&lt;=40,"30-40",IF(HR_Data[[#This Row],[Age]]&lt;=50,"41-50","50+")))</f>
        <v>41-50</v>
      </c>
      <c r="AK211" t="str">
        <f>IF(HR_Data[[#This Row],[MonthlyIncome]]&lt;4000,"Low",IF(HR_Data[[#This Row],[MonthlyIncome]]&lt;=7000,"Medium","High"))</f>
        <v>High</v>
      </c>
      <c r="AL21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12" spans="1:38" hidden="1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tr">
        <f>IF(HR_Data[[#This Row],[Age]]&lt;30,"Under 30",IF(HR_Data[[#This Row],[Age]]&lt;=40,"30-40",IF(HR_Data[[#This Row],[Age]]&lt;=50,"41-50","50+")))</f>
        <v>30-40</v>
      </c>
      <c r="AK212" t="str">
        <f>IF(HR_Data[[#This Row],[MonthlyIncome]]&lt;4000,"Low",IF(HR_Data[[#This Row],[MonthlyIncome]]&lt;=7000,"Medium","High"))</f>
        <v>High</v>
      </c>
      <c r="AL212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213" spans="1:38" hidden="1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tr">
        <f>IF(HR_Data[[#This Row],[Age]]&lt;30,"Under 30",IF(HR_Data[[#This Row],[Age]]&lt;=40,"30-40",IF(HR_Data[[#This Row],[Age]]&lt;=50,"41-50","50+")))</f>
        <v>30-40</v>
      </c>
      <c r="AK213" t="str">
        <f>IF(HR_Data[[#This Row],[MonthlyIncome]]&lt;4000,"Low",IF(HR_Data[[#This Row],[MonthlyIncome]]&lt;=7000,"Medium","High"))</f>
        <v>High</v>
      </c>
      <c r="AL213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214" spans="1:38" hidden="1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tr">
        <f>IF(HR_Data[[#This Row],[Age]]&lt;30,"Under 30",IF(HR_Data[[#This Row],[Age]]&lt;=40,"30-40",IF(HR_Data[[#This Row],[Age]]&lt;=50,"41-50","50+")))</f>
        <v>Under 30</v>
      </c>
      <c r="AK214" t="str">
        <f>IF(HR_Data[[#This Row],[MonthlyIncome]]&lt;4000,"Low",IF(HR_Data[[#This Row],[MonthlyIncome]]&lt;=7000,"Medium","High"))</f>
        <v>High</v>
      </c>
      <c r="AL21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215" spans="1:38" hidden="1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tr">
        <f>IF(HR_Data[[#This Row],[Age]]&lt;30,"Under 30",IF(HR_Data[[#This Row],[Age]]&lt;=40,"30-40",IF(HR_Data[[#This Row],[Age]]&lt;=50,"41-50","50+")))</f>
        <v>50+</v>
      </c>
      <c r="AK215" t="str">
        <f>IF(HR_Data[[#This Row],[MonthlyIncome]]&lt;4000,"Low",IF(HR_Data[[#This Row],[MonthlyIncome]]&lt;=7000,"Medium","High"))</f>
        <v>High</v>
      </c>
      <c r="AL21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216" spans="1:38" hidden="1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tr">
        <f>IF(HR_Data[[#This Row],[Age]]&lt;30,"Under 30",IF(HR_Data[[#This Row],[Age]]&lt;=40,"30-40",IF(HR_Data[[#This Row],[Age]]&lt;=50,"41-50","50+")))</f>
        <v>30-40</v>
      </c>
      <c r="AK216" t="str">
        <f>IF(HR_Data[[#This Row],[MonthlyIncome]]&lt;4000,"Low",IF(HR_Data[[#This Row],[MonthlyIncome]]&lt;=7000,"Medium","High"))</f>
        <v>Low</v>
      </c>
      <c r="AL21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17" spans="1:38" hidden="1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tr">
        <f>IF(HR_Data[[#This Row],[Age]]&lt;30,"Under 30",IF(HR_Data[[#This Row],[Age]]&lt;=40,"30-40",IF(HR_Data[[#This Row],[Age]]&lt;=50,"41-50","50+")))</f>
        <v>41-50</v>
      </c>
      <c r="AK217" t="str">
        <f>IF(HR_Data[[#This Row],[MonthlyIncome]]&lt;4000,"Low",IF(HR_Data[[#This Row],[MonthlyIncome]]&lt;=7000,"Medium","High"))</f>
        <v>High</v>
      </c>
      <c r="AL217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218" spans="1:38" hidden="1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tr">
        <f>IF(HR_Data[[#This Row],[Age]]&lt;30,"Under 30",IF(HR_Data[[#This Row],[Age]]&lt;=40,"30-40",IF(HR_Data[[#This Row],[Age]]&lt;=50,"41-50","50+")))</f>
        <v>30-40</v>
      </c>
      <c r="AK218" t="str">
        <f>IF(HR_Data[[#This Row],[MonthlyIncome]]&lt;4000,"Low",IF(HR_Data[[#This Row],[MonthlyIncome]]&lt;=7000,"Medium","High"))</f>
        <v>Medium</v>
      </c>
      <c r="AL21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219" spans="1:38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tr">
        <f>IF(HR_Data[[#This Row],[Age]]&lt;30,"Under 30",IF(HR_Data[[#This Row],[Age]]&lt;=40,"30-40",IF(HR_Data[[#This Row],[Age]]&lt;=50,"41-50","50+")))</f>
        <v>Under 30</v>
      </c>
      <c r="AK219" t="str">
        <f>IF(HR_Data[[#This Row],[MonthlyIncome]]&lt;4000,"Low",IF(HR_Data[[#This Row],[MonthlyIncome]]&lt;=7000,"Medium","High"))</f>
        <v>Low</v>
      </c>
      <c r="AL219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220" spans="1:38" hidden="1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tr">
        <f>IF(HR_Data[[#This Row],[Age]]&lt;30,"Under 30",IF(HR_Data[[#This Row],[Age]]&lt;=40,"30-40",IF(HR_Data[[#This Row],[Age]]&lt;=50,"41-50","50+")))</f>
        <v>41-50</v>
      </c>
      <c r="AK220" t="str">
        <f>IF(HR_Data[[#This Row],[MonthlyIncome]]&lt;4000,"Low",IF(HR_Data[[#This Row],[MonthlyIncome]]&lt;=7000,"Medium","High"))</f>
        <v>High</v>
      </c>
      <c r="AL220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221" spans="1:38" hidden="1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tr">
        <f>IF(HR_Data[[#This Row],[Age]]&lt;30,"Under 30",IF(HR_Data[[#This Row],[Age]]&lt;=40,"30-40",IF(HR_Data[[#This Row],[Age]]&lt;=50,"41-50","50+")))</f>
        <v>50+</v>
      </c>
      <c r="AK221" t="str">
        <f>IF(HR_Data[[#This Row],[MonthlyIncome]]&lt;4000,"Low",IF(HR_Data[[#This Row],[MonthlyIncome]]&lt;=7000,"Medium","High"))</f>
        <v>Medium</v>
      </c>
      <c r="AL22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222" spans="1:38" hidden="1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tr">
        <f>IF(HR_Data[[#This Row],[Age]]&lt;30,"Under 30",IF(HR_Data[[#This Row],[Age]]&lt;=40,"30-40",IF(HR_Data[[#This Row],[Age]]&lt;=50,"41-50","50+")))</f>
        <v>30-40</v>
      </c>
      <c r="AK222" t="str">
        <f>IF(HR_Data[[#This Row],[MonthlyIncome]]&lt;4000,"Low",IF(HR_Data[[#This Row],[MonthlyIncome]]&lt;=7000,"Medium","High"))</f>
        <v>Medium</v>
      </c>
      <c r="AL222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223" spans="1:38" hidden="1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tr">
        <f>IF(HR_Data[[#This Row],[Age]]&lt;30,"Under 30",IF(HR_Data[[#This Row],[Age]]&lt;=40,"30-40",IF(HR_Data[[#This Row],[Age]]&lt;=50,"41-50","50+")))</f>
        <v>30-40</v>
      </c>
      <c r="AK223" t="str">
        <f>IF(HR_Data[[#This Row],[MonthlyIncome]]&lt;4000,"Low",IF(HR_Data[[#This Row],[MonthlyIncome]]&lt;=7000,"Medium","High"))</f>
        <v>Low</v>
      </c>
      <c r="AL22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24" spans="1:38" hidden="1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tr">
        <f>IF(HR_Data[[#This Row],[Age]]&lt;30,"Under 30",IF(HR_Data[[#This Row],[Age]]&lt;=40,"30-40",IF(HR_Data[[#This Row],[Age]]&lt;=50,"41-50","50+")))</f>
        <v>30-40</v>
      </c>
      <c r="AK224" t="str">
        <f>IF(HR_Data[[#This Row],[MonthlyIncome]]&lt;4000,"Low",IF(HR_Data[[#This Row],[MonthlyIncome]]&lt;=7000,"Medium","High"))</f>
        <v>High</v>
      </c>
      <c r="AL22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225" spans="1:38" hidden="1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tr">
        <f>IF(HR_Data[[#This Row],[Age]]&lt;30,"Under 30",IF(HR_Data[[#This Row],[Age]]&lt;=40,"30-40",IF(HR_Data[[#This Row],[Age]]&lt;=50,"41-50","50+")))</f>
        <v>30-40</v>
      </c>
      <c r="AK225" t="str">
        <f>IF(HR_Data[[#This Row],[MonthlyIncome]]&lt;4000,"Low",IF(HR_Data[[#This Row],[MonthlyIncome]]&lt;=7000,"Medium","High"))</f>
        <v>High</v>
      </c>
      <c r="AL225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226" spans="1:38" hidden="1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tr">
        <f>IF(HR_Data[[#This Row],[Age]]&lt;30,"Under 30",IF(HR_Data[[#This Row],[Age]]&lt;=40,"30-40",IF(HR_Data[[#This Row],[Age]]&lt;=50,"41-50","50+")))</f>
        <v>30-40</v>
      </c>
      <c r="AK226" t="str">
        <f>IF(HR_Data[[#This Row],[MonthlyIncome]]&lt;4000,"Low",IF(HR_Data[[#This Row],[MonthlyIncome]]&lt;=7000,"Medium","High"))</f>
        <v>Medium</v>
      </c>
      <c r="AL22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27" spans="1:38" hidden="1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tr">
        <f>IF(HR_Data[[#This Row],[Age]]&lt;30,"Under 30",IF(HR_Data[[#This Row],[Age]]&lt;=40,"30-40",IF(HR_Data[[#This Row],[Age]]&lt;=50,"41-50","50+")))</f>
        <v>50+</v>
      </c>
      <c r="AK227" t="str">
        <f>IF(HR_Data[[#This Row],[MonthlyIncome]]&lt;4000,"Low",IF(HR_Data[[#This Row],[MonthlyIncome]]&lt;=7000,"Medium","High"))</f>
        <v>Low</v>
      </c>
      <c r="AL227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228" spans="1:38" hidden="1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tr">
        <f>IF(HR_Data[[#This Row],[Age]]&lt;30,"Under 30",IF(HR_Data[[#This Row],[Age]]&lt;=40,"30-40",IF(HR_Data[[#This Row],[Age]]&lt;=50,"41-50","50+")))</f>
        <v>30-40</v>
      </c>
      <c r="AK228" t="str">
        <f>IF(HR_Data[[#This Row],[MonthlyIncome]]&lt;4000,"Low",IF(HR_Data[[#This Row],[MonthlyIncome]]&lt;=7000,"Medium","High"))</f>
        <v>Low</v>
      </c>
      <c r="AL22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229" spans="1:38" hidden="1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tr">
        <f>IF(HR_Data[[#This Row],[Age]]&lt;30,"Under 30",IF(HR_Data[[#This Row],[Age]]&lt;=40,"30-40",IF(HR_Data[[#This Row],[Age]]&lt;=50,"41-50","50+")))</f>
        <v>Under 30</v>
      </c>
      <c r="AK229" t="str">
        <f>IF(HR_Data[[#This Row],[MonthlyIncome]]&lt;4000,"Low",IF(HR_Data[[#This Row],[MonthlyIncome]]&lt;=7000,"Medium","High"))</f>
        <v>High</v>
      </c>
      <c r="AL229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230" spans="1:38" hidden="1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tr">
        <f>IF(HR_Data[[#This Row],[Age]]&lt;30,"Under 30",IF(HR_Data[[#This Row],[Age]]&lt;=40,"30-40",IF(HR_Data[[#This Row],[Age]]&lt;=50,"41-50","50+")))</f>
        <v>30-40</v>
      </c>
      <c r="AK230" t="str">
        <f>IF(HR_Data[[#This Row],[MonthlyIncome]]&lt;4000,"Low",IF(HR_Data[[#This Row],[MonthlyIncome]]&lt;=7000,"Medium","High"))</f>
        <v>High</v>
      </c>
      <c r="AL23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231" spans="1:38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tr">
        <f>IF(HR_Data[[#This Row],[Age]]&lt;30,"Under 30",IF(HR_Data[[#This Row],[Age]]&lt;=40,"30-40",IF(HR_Data[[#This Row],[Age]]&lt;=50,"41-50","50+")))</f>
        <v>Under 30</v>
      </c>
      <c r="AK231" t="str">
        <f>IF(HR_Data[[#This Row],[MonthlyIncome]]&lt;4000,"Low",IF(HR_Data[[#This Row],[MonthlyIncome]]&lt;=7000,"Medium","High"))</f>
        <v>Low</v>
      </c>
      <c r="AL23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32" spans="1:38" hidden="1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tr">
        <f>IF(HR_Data[[#This Row],[Age]]&lt;30,"Under 30",IF(HR_Data[[#This Row],[Age]]&lt;=40,"30-40",IF(HR_Data[[#This Row],[Age]]&lt;=50,"41-50","50+")))</f>
        <v>50+</v>
      </c>
      <c r="AK232" t="str">
        <f>IF(HR_Data[[#This Row],[MonthlyIncome]]&lt;4000,"Low",IF(HR_Data[[#This Row],[MonthlyIncome]]&lt;=7000,"Medium","High"))</f>
        <v>Low</v>
      </c>
      <c r="AL23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33" spans="1:38" hidden="1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tr">
        <f>IF(HR_Data[[#This Row],[Age]]&lt;30,"Under 30",IF(HR_Data[[#This Row],[Age]]&lt;=40,"30-40",IF(HR_Data[[#This Row],[Age]]&lt;=50,"41-50","50+")))</f>
        <v>41-50</v>
      </c>
      <c r="AK233" t="str">
        <f>IF(HR_Data[[#This Row],[MonthlyIncome]]&lt;4000,"Low",IF(HR_Data[[#This Row],[MonthlyIncome]]&lt;=7000,"Medium","High"))</f>
        <v>High</v>
      </c>
      <c r="AL233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234" spans="1:38" hidden="1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tr">
        <f>IF(HR_Data[[#This Row],[Age]]&lt;30,"Under 30",IF(HR_Data[[#This Row],[Age]]&lt;=40,"30-40",IF(HR_Data[[#This Row],[Age]]&lt;=50,"41-50","50+")))</f>
        <v>50+</v>
      </c>
      <c r="AK234" t="str">
        <f>IF(HR_Data[[#This Row],[MonthlyIncome]]&lt;4000,"Low",IF(HR_Data[[#This Row],[MonthlyIncome]]&lt;=7000,"Medium","High"))</f>
        <v>Low</v>
      </c>
      <c r="AL23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35" spans="1:38" hidden="1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tr">
        <f>IF(HR_Data[[#This Row],[Age]]&lt;30,"Under 30",IF(HR_Data[[#This Row],[Age]]&lt;=40,"30-40",IF(HR_Data[[#This Row],[Age]]&lt;=50,"41-50","50+")))</f>
        <v>41-50</v>
      </c>
      <c r="AK235" t="str">
        <f>IF(HR_Data[[#This Row],[MonthlyIncome]]&lt;4000,"Low",IF(HR_Data[[#This Row],[MonthlyIncome]]&lt;=7000,"Medium","High"))</f>
        <v>High</v>
      </c>
      <c r="AL23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236" spans="1:38" hidden="1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tr">
        <f>IF(HR_Data[[#This Row],[Age]]&lt;30,"Under 30",IF(HR_Data[[#This Row],[Age]]&lt;=40,"30-40",IF(HR_Data[[#This Row],[Age]]&lt;=50,"41-50","50+")))</f>
        <v>30-40</v>
      </c>
      <c r="AK236" t="str">
        <f>IF(HR_Data[[#This Row],[MonthlyIncome]]&lt;4000,"Low",IF(HR_Data[[#This Row],[MonthlyIncome]]&lt;=7000,"Medium","High"))</f>
        <v>Low</v>
      </c>
      <c r="AL23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37" spans="1:38" hidden="1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tr">
        <f>IF(HR_Data[[#This Row],[Age]]&lt;30,"Under 30",IF(HR_Data[[#This Row],[Age]]&lt;=40,"30-40",IF(HR_Data[[#This Row],[Age]]&lt;=50,"41-50","50+")))</f>
        <v>41-50</v>
      </c>
      <c r="AK237" t="str">
        <f>IF(HR_Data[[#This Row],[MonthlyIncome]]&lt;4000,"Low",IF(HR_Data[[#This Row],[MonthlyIncome]]&lt;=7000,"Medium","High"))</f>
        <v>High</v>
      </c>
      <c r="AL237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238" spans="1:38" hidden="1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tr">
        <f>IF(HR_Data[[#This Row],[Age]]&lt;30,"Under 30",IF(HR_Data[[#This Row],[Age]]&lt;=40,"30-40",IF(HR_Data[[#This Row],[Age]]&lt;=50,"41-50","50+")))</f>
        <v>30-40</v>
      </c>
      <c r="AK238" t="str">
        <f>IF(HR_Data[[#This Row],[MonthlyIncome]]&lt;4000,"Low",IF(HR_Data[[#This Row],[MonthlyIncome]]&lt;=7000,"Medium","High"))</f>
        <v>Low</v>
      </c>
      <c r="AL23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239" spans="1:38" hidden="1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tr">
        <f>IF(HR_Data[[#This Row],[Age]]&lt;30,"Under 30",IF(HR_Data[[#This Row],[Age]]&lt;=40,"30-40",IF(HR_Data[[#This Row],[Age]]&lt;=50,"41-50","50+")))</f>
        <v>50+</v>
      </c>
      <c r="AK239" t="str">
        <f>IF(HR_Data[[#This Row],[MonthlyIncome]]&lt;4000,"Low",IF(HR_Data[[#This Row],[MonthlyIncome]]&lt;=7000,"Medium","High"))</f>
        <v>High</v>
      </c>
      <c r="AL239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240" spans="1:38" hidden="1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tr">
        <f>IF(HR_Data[[#This Row],[Age]]&lt;30,"Under 30",IF(HR_Data[[#This Row],[Age]]&lt;=40,"30-40",IF(HR_Data[[#This Row],[Age]]&lt;=50,"41-50","50+")))</f>
        <v>30-40</v>
      </c>
      <c r="AK240" t="str">
        <f>IF(HR_Data[[#This Row],[MonthlyIncome]]&lt;4000,"Low",IF(HR_Data[[#This Row],[MonthlyIncome]]&lt;=7000,"Medium","High"))</f>
        <v>Low</v>
      </c>
      <c r="AL24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41" spans="1:38" hidden="1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tr">
        <f>IF(HR_Data[[#This Row],[Age]]&lt;30,"Under 30",IF(HR_Data[[#This Row],[Age]]&lt;=40,"30-40",IF(HR_Data[[#This Row],[Age]]&lt;=50,"41-50","50+")))</f>
        <v>30-40</v>
      </c>
      <c r="AK241" t="str">
        <f>IF(HR_Data[[#This Row],[MonthlyIncome]]&lt;4000,"Low",IF(HR_Data[[#This Row],[MonthlyIncome]]&lt;=7000,"Medium","High"))</f>
        <v>Low</v>
      </c>
      <c r="AL24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42" spans="1:38" hidden="1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tr">
        <f>IF(HR_Data[[#This Row],[Age]]&lt;30,"Under 30",IF(HR_Data[[#This Row],[Age]]&lt;=40,"30-40",IF(HR_Data[[#This Row],[Age]]&lt;=50,"41-50","50+")))</f>
        <v>30-40</v>
      </c>
      <c r="AK242" t="str">
        <f>IF(HR_Data[[#This Row],[MonthlyIncome]]&lt;4000,"Low",IF(HR_Data[[#This Row],[MonthlyIncome]]&lt;=7000,"Medium","High"))</f>
        <v>Low</v>
      </c>
      <c r="AL24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43" spans="1:38" hidden="1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tr">
        <f>IF(HR_Data[[#This Row],[Age]]&lt;30,"Under 30",IF(HR_Data[[#This Row],[Age]]&lt;=40,"30-40",IF(HR_Data[[#This Row],[Age]]&lt;=50,"41-50","50+")))</f>
        <v>30-40</v>
      </c>
      <c r="AK243" t="str">
        <f>IF(HR_Data[[#This Row],[MonthlyIncome]]&lt;4000,"Low",IF(HR_Data[[#This Row],[MonthlyIncome]]&lt;=7000,"Medium","High"))</f>
        <v>Medium</v>
      </c>
      <c r="AL24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44" spans="1:38" hidden="1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tr">
        <f>IF(HR_Data[[#This Row],[Age]]&lt;30,"Under 30",IF(HR_Data[[#This Row],[Age]]&lt;=40,"30-40",IF(HR_Data[[#This Row],[Age]]&lt;=50,"41-50","50+")))</f>
        <v>41-50</v>
      </c>
      <c r="AK244" t="str">
        <f>IF(HR_Data[[#This Row],[MonthlyIncome]]&lt;4000,"Low",IF(HR_Data[[#This Row],[MonthlyIncome]]&lt;=7000,"Medium","High"))</f>
        <v>Low</v>
      </c>
      <c r="AL244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245" spans="1:38" hidden="1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tr">
        <f>IF(HR_Data[[#This Row],[Age]]&lt;30,"Under 30",IF(HR_Data[[#This Row],[Age]]&lt;=40,"30-40",IF(HR_Data[[#This Row],[Age]]&lt;=50,"41-50","50+")))</f>
        <v>30-40</v>
      </c>
      <c r="AK245" t="str">
        <f>IF(HR_Data[[#This Row],[MonthlyIncome]]&lt;4000,"Low",IF(HR_Data[[#This Row],[MonthlyIncome]]&lt;=7000,"Medium","High"))</f>
        <v>Low</v>
      </c>
      <c r="AL24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246" spans="1:38" hidden="1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tr">
        <f>IF(HR_Data[[#This Row],[Age]]&lt;30,"Under 30",IF(HR_Data[[#This Row],[Age]]&lt;=40,"30-40",IF(HR_Data[[#This Row],[Age]]&lt;=50,"41-50","50+")))</f>
        <v>41-50</v>
      </c>
      <c r="AK246" t="str">
        <f>IF(HR_Data[[#This Row],[MonthlyIncome]]&lt;4000,"Low",IF(HR_Data[[#This Row],[MonthlyIncome]]&lt;=7000,"Medium","High"))</f>
        <v>High</v>
      </c>
      <c r="AL246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247" spans="1:38" hidden="1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tr">
        <f>IF(HR_Data[[#This Row],[Age]]&lt;30,"Under 30",IF(HR_Data[[#This Row],[Age]]&lt;=40,"30-40",IF(HR_Data[[#This Row],[Age]]&lt;=50,"41-50","50+")))</f>
        <v>30-40</v>
      </c>
      <c r="AK247" t="str">
        <f>IF(HR_Data[[#This Row],[MonthlyIncome]]&lt;4000,"Low",IF(HR_Data[[#This Row],[MonthlyIncome]]&lt;=7000,"Medium","High"))</f>
        <v>High</v>
      </c>
      <c r="AL24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48" spans="1:38" hidden="1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tr">
        <f>IF(HR_Data[[#This Row],[Age]]&lt;30,"Under 30",IF(HR_Data[[#This Row],[Age]]&lt;=40,"30-40",IF(HR_Data[[#This Row],[Age]]&lt;=50,"41-50","50+")))</f>
        <v>30-40</v>
      </c>
      <c r="AK248" t="str">
        <f>IF(HR_Data[[#This Row],[MonthlyIncome]]&lt;4000,"Low",IF(HR_Data[[#This Row],[MonthlyIncome]]&lt;=7000,"Medium","High"))</f>
        <v>Low</v>
      </c>
      <c r="AL24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49" spans="1:38" hidden="1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tr">
        <f>IF(HR_Data[[#This Row],[Age]]&lt;30,"Under 30",IF(HR_Data[[#This Row],[Age]]&lt;=40,"30-40",IF(HR_Data[[#This Row],[Age]]&lt;=50,"41-50","50+")))</f>
        <v>30-40</v>
      </c>
      <c r="AK249" t="str">
        <f>IF(HR_Data[[#This Row],[MonthlyIncome]]&lt;4000,"Low",IF(HR_Data[[#This Row],[MonthlyIncome]]&lt;=7000,"Medium","High"))</f>
        <v>Medium</v>
      </c>
      <c r="AL249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250" spans="1:38" hidden="1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tr">
        <f>IF(HR_Data[[#This Row],[Age]]&lt;30,"Under 30",IF(HR_Data[[#This Row],[Age]]&lt;=40,"30-40",IF(HR_Data[[#This Row],[Age]]&lt;=50,"41-50","50+")))</f>
        <v>30-40</v>
      </c>
      <c r="AK250" t="str">
        <f>IF(HR_Data[[#This Row],[MonthlyIncome]]&lt;4000,"Low",IF(HR_Data[[#This Row],[MonthlyIncome]]&lt;=7000,"Medium","High"))</f>
        <v>Low</v>
      </c>
      <c r="AL25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51" spans="1:38" hidden="1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tr">
        <f>IF(HR_Data[[#This Row],[Age]]&lt;30,"Under 30",IF(HR_Data[[#This Row],[Age]]&lt;=40,"30-40",IF(HR_Data[[#This Row],[Age]]&lt;=50,"41-50","50+")))</f>
        <v>41-50</v>
      </c>
      <c r="AK251" t="str">
        <f>IF(HR_Data[[#This Row],[MonthlyIncome]]&lt;4000,"Low",IF(HR_Data[[#This Row],[MonthlyIncome]]&lt;=7000,"Medium","High"))</f>
        <v>Medium</v>
      </c>
      <c r="AL25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52" spans="1:38" hidden="1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tr">
        <f>IF(HR_Data[[#This Row],[Age]]&lt;30,"Under 30",IF(HR_Data[[#This Row],[Age]]&lt;=40,"30-40",IF(HR_Data[[#This Row],[Age]]&lt;=50,"41-50","50+")))</f>
        <v>30-40</v>
      </c>
      <c r="AK252" t="str">
        <f>IF(HR_Data[[#This Row],[MonthlyIncome]]&lt;4000,"Low",IF(HR_Data[[#This Row],[MonthlyIncome]]&lt;=7000,"Medium","High"))</f>
        <v>High</v>
      </c>
      <c r="AL252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253" spans="1:38" hidden="1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tr">
        <f>IF(HR_Data[[#This Row],[Age]]&lt;30,"Under 30",IF(HR_Data[[#This Row],[Age]]&lt;=40,"30-40",IF(HR_Data[[#This Row],[Age]]&lt;=50,"41-50","50+")))</f>
        <v>30-40</v>
      </c>
      <c r="AK253" t="str">
        <f>IF(HR_Data[[#This Row],[MonthlyIncome]]&lt;4000,"Low",IF(HR_Data[[#This Row],[MonthlyIncome]]&lt;=7000,"Medium","High"))</f>
        <v>High</v>
      </c>
      <c r="AL253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254" spans="1:38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tr">
        <f>IF(HR_Data[[#This Row],[Age]]&lt;30,"Under 30",IF(HR_Data[[#This Row],[Age]]&lt;=40,"30-40",IF(HR_Data[[#This Row],[Age]]&lt;=50,"41-50","50+")))</f>
        <v>Under 30</v>
      </c>
      <c r="AK254" t="str">
        <f>IF(HR_Data[[#This Row],[MonthlyIncome]]&lt;4000,"Low",IF(HR_Data[[#This Row],[MonthlyIncome]]&lt;=7000,"Medium","High"))</f>
        <v>Low</v>
      </c>
      <c r="AL25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255" spans="1:38" hidden="1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tr">
        <f>IF(HR_Data[[#This Row],[Age]]&lt;30,"Under 30",IF(HR_Data[[#This Row],[Age]]&lt;=40,"30-40",IF(HR_Data[[#This Row],[Age]]&lt;=50,"41-50","50+")))</f>
        <v>41-50</v>
      </c>
      <c r="AK255" t="str">
        <f>IF(HR_Data[[#This Row],[MonthlyIncome]]&lt;4000,"Low",IF(HR_Data[[#This Row],[MonthlyIncome]]&lt;=7000,"Medium","High"))</f>
        <v>Medium</v>
      </c>
      <c r="AL25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56" spans="1:38" hidden="1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tr">
        <f>IF(HR_Data[[#This Row],[Age]]&lt;30,"Under 30",IF(HR_Data[[#This Row],[Age]]&lt;=40,"30-40",IF(HR_Data[[#This Row],[Age]]&lt;=50,"41-50","50+")))</f>
        <v>Under 30</v>
      </c>
      <c r="AK256" t="str">
        <f>IF(HR_Data[[#This Row],[MonthlyIncome]]&lt;4000,"Low",IF(HR_Data[[#This Row],[MonthlyIncome]]&lt;=7000,"Medium","High"))</f>
        <v>Medium</v>
      </c>
      <c r="AL25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57" spans="1:38" hidden="1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tr">
        <f>IF(HR_Data[[#This Row],[Age]]&lt;30,"Under 30",IF(HR_Data[[#This Row],[Age]]&lt;=40,"30-40",IF(HR_Data[[#This Row],[Age]]&lt;=50,"41-50","50+")))</f>
        <v>Under 30</v>
      </c>
      <c r="AK257" t="str">
        <f>IF(HR_Data[[#This Row],[MonthlyIncome]]&lt;4000,"Low",IF(HR_Data[[#This Row],[MonthlyIncome]]&lt;=7000,"Medium","High"))</f>
        <v>Medium</v>
      </c>
      <c r="AL25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58" spans="1:38" hidden="1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tr">
        <f>IF(HR_Data[[#This Row],[Age]]&lt;30,"Under 30",IF(HR_Data[[#This Row],[Age]]&lt;=40,"30-40",IF(HR_Data[[#This Row],[Age]]&lt;=50,"41-50","50+")))</f>
        <v>41-50</v>
      </c>
      <c r="AK258" t="str">
        <f>IF(HR_Data[[#This Row],[MonthlyIncome]]&lt;4000,"Low",IF(HR_Data[[#This Row],[MonthlyIncome]]&lt;=7000,"Medium","High"))</f>
        <v>Low</v>
      </c>
      <c r="AL25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259" spans="1:38" hidden="1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tr">
        <f>IF(HR_Data[[#This Row],[Age]]&lt;30,"Under 30",IF(HR_Data[[#This Row],[Age]]&lt;=40,"30-40",IF(HR_Data[[#This Row],[Age]]&lt;=50,"41-50","50+")))</f>
        <v>30-40</v>
      </c>
      <c r="AK259" t="str">
        <f>IF(HR_Data[[#This Row],[MonthlyIncome]]&lt;4000,"Low",IF(HR_Data[[#This Row],[MonthlyIncome]]&lt;=7000,"Medium","High"))</f>
        <v>High</v>
      </c>
      <c r="AL259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260" spans="1:38" hidden="1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tr">
        <f>IF(HR_Data[[#This Row],[Age]]&lt;30,"Under 30",IF(HR_Data[[#This Row],[Age]]&lt;=40,"30-40",IF(HR_Data[[#This Row],[Age]]&lt;=50,"41-50","50+")))</f>
        <v>50+</v>
      </c>
      <c r="AK260" t="str">
        <f>IF(HR_Data[[#This Row],[MonthlyIncome]]&lt;4000,"Low",IF(HR_Data[[#This Row],[MonthlyIncome]]&lt;=7000,"Medium","High"))</f>
        <v>Low</v>
      </c>
      <c r="AL260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261" spans="1:38" hidden="1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tr">
        <f>IF(HR_Data[[#This Row],[Age]]&lt;30,"Under 30",IF(HR_Data[[#This Row],[Age]]&lt;=40,"30-40",IF(HR_Data[[#This Row],[Age]]&lt;=50,"41-50","50+")))</f>
        <v>30-40</v>
      </c>
      <c r="AK261" t="str">
        <f>IF(HR_Data[[#This Row],[MonthlyIncome]]&lt;4000,"Low",IF(HR_Data[[#This Row],[MonthlyIncome]]&lt;=7000,"Medium","High"))</f>
        <v>Low</v>
      </c>
      <c r="AL26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62" spans="1:38" hidden="1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tr">
        <f>IF(HR_Data[[#This Row],[Age]]&lt;30,"Under 30",IF(HR_Data[[#This Row],[Age]]&lt;=40,"30-40",IF(HR_Data[[#This Row],[Age]]&lt;=50,"41-50","50+")))</f>
        <v>30-40</v>
      </c>
      <c r="AK262" t="str">
        <f>IF(HR_Data[[#This Row],[MonthlyIncome]]&lt;4000,"Low",IF(HR_Data[[#This Row],[MonthlyIncome]]&lt;=7000,"Medium","High"))</f>
        <v>Low</v>
      </c>
      <c r="AL26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63" spans="1:38" hidden="1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tr">
        <f>IF(HR_Data[[#This Row],[Age]]&lt;30,"Under 30",IF(HR_Data[[#This Row],[Age]]&lt;=40,"30-40",IF(HR_Data[[#This Row],[Age]]&lt;=50,"41-50","50+")))</f>
        <v>30-40</v>
      </c>
      <c r="AK263" t="str">
        <f>IF(HR_Data[[#This Row],[MonthlyIncome]]&lt;4000,"Low",IF(HR_Data[[#This Row],[MonthlyIncome]]&lt;=7000,"Medium","High"))</f>
        <v>Medium</v>
      </c>
      <c r="AL26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264" spans="1:38" hidden="1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tr">
        <f>IF(HR_Data[[#This Row],[Age]]&lt;30,"Under 30",IF(HR_Data[[#This Row],[Age]]&lt;=40,"30-40",IF(HR_Data[[#This Row],[Age]]&lt;=50,"41-50","50+")))</f>
        <v>30-40</v>
      </c>
      <c r="AK264" t="str">
        <f>IF(HR_Data[[#This Row],[MonthlyIncome]]&lt;4000,"Low",IF(HR_Data[[#This Row],[MonthlyIncome]]&lt;=7000,"Medium","High"))</f>
        <v>Low</v>
      </c>
      <c r="AL26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265" spans="1:38" hidden="1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tr">
        <f>IF(HR_Data[[#This Row],[Age]]&lt;30,"Under 30",IF(HR_Data[[#This Row],[Age]]&lt;=40,"30-40",IF(HR_Data[[#This Row],[Age]]&lt;=50,"41-50","50+")))</f>
        <v>41-50</v>
      </c>
      <c r="AK265" t="str">
        <f>IF(HR_Data[[#This Row],[MonthlyIncome]]&lt;4000,"Low",IF(HR_Data[[#This Row],[MonthlyIncome]]&lt;=7000,"Medium","High"))</f>
        <v>High</v>
      </c>
      <c r="AL26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266" spans="1:38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tr">
        <f>IF(HR_Data[[#This Row],[Age]]&lt;30,"Under 30",IF(HR_Data[[#This Row],[Age]]&lt;=40,"30-40",IF(HR_Data[[#This Row],[Age]]&lt;=50,"41-50","50+")))</f>
        <v>Under 30</v>
      </c>
      <c r="AK266" t="str">
        <f>IF(HR_Data[[#This Row],[MonthlyIncome]]&lt;4000,"Low",IF(HR_Data[[#This Row],[MonthlyIncome]]&lt;=7000,"Medium","High"))</f>
        <v>Low</v>
      </c>
      <c r="AL266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267" spans="1:38" hidden="1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tr">
        <f>IF(HR_Data[[#This Row],[Age]]&lt;30,"Under 30",IF(HR_Data[[#This Row],[Age]]&lt;=40,"30-40",IF(HR_Data[[#This Row],[Age]]&lt;=50,"41-50","50+")))</f>
        <v>Under 30</v>
      </c>
      <c r="AK267" t="str">
        <f>IF(HR_Data[[#This Row],[MonthlyIncome]]&lt;4000,"Low",IF(HR_Data[[#This Row],[MonthlyIncome]]&lt;=7000,"Medium","High"))</f>
        <v>Medium</v>
      </c>
      <c r="AL267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268" spans="1:38" hidden="1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tr">
        <f>IF(HR_Data[[#This Row],[Age]]&lt;30,"Under 30",IF(HR_Data[[#This Row],[Age]]&lt;=40,"30-40",IF(HR_Data[[#This Row],[Age]]&lt;=50,"41-50","50+")))</f>
        <v>30-40</v>
      </c>
      <c r="AK268" t="str">
        <f>IF(HR_Data[[#This Row],[MonthlyIncome]]&lt;4000,"Low",IF(HR_Data[[#This Row],[MonthlyIncome]]&lt;=7000,"Medium","High"))</f>
        <v>Medium</v>
      </c>
      <c r="AL26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269" spans="1:38" hidden="1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tr">
        <f>IF(HR_Data[[#This Row],[Age]]&lt;30,"Under 30",IF(HR_Data[[#This Row],[Age]]&lt;=40,"30-40",IF(HR_Data[[#This Row],[Age]]&lt;=50,"41-50","50+")))</f>
        <v>Under 30</v>
      </c>
      <c r="AK269" t="str">
        <f>IF(HR_Data[[#This Row],[MonthlyIncome]]&lt;4000,"Low",IF(HR_Data[[#This Row],[MonthlyIncome]]&lt;=7000,"Medium","High"))</f>
        <v>Medium</v>
      </c>
      <c r="AL269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270" spans="1:38" hidden="1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tr">
        <f>IF(HR_Data[[#This Row],[Age]]&lt;30,"Under 30",IF(HR_Data[[#This Row],[Age]]&lt;=40,"30-40",IF(HR_Data[[#This Row],[Age]]&lt;=50,"41-50","50+")))</f>
        <v>41-50</v>
      </c>
      <c r="AK270" t="str">
        <f>IF(HR_Data[[#This Row],[MonthlyIncome]]&lt;4000,"Low",IF(HR_Data[[#This Row],[MonthlyIncome]]&lt;=7000,"Medium","High"))</f>
        <v>High</v>
      </c>
      <c r="AL270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271" spans="1:38" hidden="1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tr">
        <f>IF(HR_Data[[#This Row],[Age]]&lt;30,"Under 30",IF(HR_Data[[#This Row],[Age]]&lt;=40,"30-40",IF(HR_Data[[#This Row],[Age]]&lt;=50,"41-50","50+")))</f>
        <v>30-40</v>
      </c>
      <c r="AK271" t="str">
        <f>IF(HR_Data[[#This Row],[MonthlyIncome]]&lt;4000,"Low",IF(HR_Data[[#This Row],[MonthlyIncome]]&lt;=7000,"Medium","High"))</f>
        <v>Low</v>
      </c>
      <c r="AL271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272" spans="1:38" hidden="1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tr">
        <f>IF(HR_Data[[#This Row],[Age]]&lt;30,"Under 30",IF(HR_Data[[#This Row],[Age]]&lt;=40,"30-40",IF(HR_Data[[#This Row],[Age]]&lt;=50,"41-50","50+")))</f>
        <v>50+</v>
      </c>
      <c r="AK272" t="str">
        <f>IF(HR_Data[[#This Row],[MonthlyIncome]]&lt;4000,"Low",IF(HR_Data[[#This Row],[MonthlyIncome]]&lt;=7000,"Medium","High"))</f>
        <v>High</v>
      </c>
      <c r="AL272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273" spans="1:38" hidden="1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tr">
        <f>IF(HR_Data[[#This Row],[Age]]&lt;30,"Under 30",IF(HR_Data[[#This Row],[Age]]&lt;=40,"30-40",IF(HR_Data[[#This Row],[Age]]&lt;=50,"41-50","50+")))</f>
        <v>41-50</v>
      </c>
      <c r="AK273" t="str">
        <f>IF(HR_Data[[#This Row],[MonthlyIncome]]&lt;4000,"Low",IF(HR_Data[[#This Row],[MonthlyIncome]]&lt;=7000,"Medium","High"))</f>
        <v>High</v>
      </c>
      <c r="AL27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274" spans="1:38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tr">
        <f>IF(HR_Data[[#This Row],[Age]]&lt;30,"Under 30",IF(HR_Data[[#This Row],[Age]]&lt;=40,"30-40",IF(HR_Data[[#This Row],[Age]]&lt;=50,"41-50","50+")))</f>
        <v>Under 30</v>
      </c>
      <c r="AK274" t="str">
        <f>IF(HR_Data[[#This Row],[MonthlyIncome]]&lt;4000,"Low",IF(HR_Data[[#This Row],[MonthlyIncome]]&lt;=7000,"Medium","High"))</f>
        <v>Low</v>
      </c>
      <c r="AL27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75" spans="1:38" hidden="1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tr">
        <f>IF(HR_Data[[#This Row],[Age]]&lt;30,"Under 30",IF(HR_Data[[#This Row],[Age]]&lt;=40,"30-40",IF(HR_Data[[#This Row],[Age]]&lt;=50,"41-50","50+")))</f>
        <v>30-40</v>
      </c>
      <c r="AK275" t="str">
        <f>IF(HR_Data[[#This Row],[MonthlyIncome]]&lt;4000,"Low",IF(HR_Data[[#This Row],[MonthlyIncome]]&lt;=7000,"Medium","High"))</f>
        <v>Medium</v>
      </c>
      <c r="AL27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76" spans="1:38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tr">
        <f>IF(HR_Data[[#This Row],[Age]]&lt;30,"Under 30",IF(HR_Data[[#This Row],[Age]]&lt;=40,"30-40",IF(HR_Data[[#This Row],[Age]]&lt;=50,"41-50","50+")))</f>
        <v>Under 30</v>
      </c>
      <c r="AK276" t="str">
        <f>IF(HR_Data[[#This Row],[MonthlyIncome]]&lt;4000,"Low",IF(HR_Data[[#This Row],[MonthlyIncome]]&lt;=7000,"Medium","High"))</f>
        <v>Low</v>
      </c>
      <c r="AL27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77" spans="1:38" hidden="1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tr">
        <f>IF(HR_Data[[#This Row],[Age]]&lt;30,"Under 30",IF(HR_Data[[#This Row],[Age]]&lt;=40,"30-40",IF(HR_Data[[#This Row],[Age]]&lt;=50,"41-50","50+")))</f>
        <v>30-40</v>
      </c>
      <c r="AK277" t="str">
        <f>IF(HR_Data[[#This Row],[MonthlyIncome]]&lt;4000,"Low",IF(HR_Data[[#This Row],[MonthlyIncome]]&lt;=7000,"Medium","High"))</f>
        <v>High</v>
      </c>
      <c r="AL27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78" spans="1:38" hidden="1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tr">
        <f>IF(HR_Data[[#This Row],[Age]]&lt;30,"Under 30",IF(HR_Data[[#This Row],[Age]]&lt;=40,"30-40",IF(HR_Data[[#This Row],[Age]]&lt;=50,"41-50","50+")))</f>
        <v>30-40</v>
      </c>
      <c r="AK278" t="str">
        <f>IF(HR_Data[[#This Row],[MonthlyIncome]]&lt;4000,"Low",IF(HR_Data[[#This Row],[MonthlyIncome]]&lt;=7000,"Medium","High"))</f>
        <v>High</v>
      </c>
      <c r="AL27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279" spans="1:38" hidden="1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tr">
        <f>IF(HR_Data[[#This Row],[Age]]&lt;30,"Under 30",IF(HR_Data[[#This Row],[Age]]&lt;=40,"30-40",IF(HR_Data[[#This Row],[Age]]&lt;=50,"41-50","50+")))</f>
        <v>30-40</v>
      </c>
      <c r="AK279" t="str">
        <f>IF(HR_Data[[#This Row],[MonthlyIncome]]&lt;4000,"Low",IF(HR_Data[[#This Row],[MonthlyIncome]]&lt;=7000,"Medium","High"))</f>
        <v>Medium</v>
      </c>
      <c r="AL279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280" spans="1:38" hidden="1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tr">
        <f>IF(HR_Data[[#This Row],[Age]]&lt;30,"Under 30",IF(HR_Data[[#This Row],[Age]]&lt;=40,"30-40",IF(HR_Data[[#This Row],[Age]]&lt;=50,"41-50","50+")))</f>
        <v>Under 30</v>
      </c>
      <c r="AK280" t="str">
        <f>IF(HR_Data[[#This Row],[MonthlyIncome]]&lt;4000,"Low",IF(HR_Data[[#This Row],[MonthlyIncome]]&lt;=7000,"Medium","High"))</f>
        <v>Medium</v>
      </c>
      <c r="AL28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281" spans="1:38" hidden="1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tr">
        <f>IF(HR_Data[[#This Row],[Age]]&lt;30,"Under 30",IF(HR_Data[[#This Row],[Age]]&lt;=40,"30-40",IF(HR_Data[[#This Row],[Age]]&lt;=50,"41-50","50+")))</f>
        <v>41-50</v>
      </c>
      <c r="AK281" t="str">
        <f>IF(HR_Data[[#This Row],[MonthlyIncome]]&lt;4000,"Low",IF(HR_Data[[#This Row],[MonthlyIncome]]&lt;=7000,"Medium","High"))</f>
        <v>High</v>
      </c>
      <c r="AL28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282" spans="1:38" hidden="1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tr">
        <f>IF(HR_Data[[#This Row],[Age]]&lt;30,"Under 30",IF(HR_Data[[#This Row],[Age]]&lt;=40,"30-40",IF(HR_Data[[#This Row],[Age]]&lt;=50,"41-50","50+")))</f>
        <v>50+</v>
      </c>
      <c r="AK282" t="str">
        <f>IF(HR_Data[[#This Row],[MonthlyIncome]]&lt;4000,"Low",IF(HR_Data[[#This Row],[MonthlyIncome]]&lt;=7000,"Medium","High"))</f>
        <v>High</v>
      </c>
      <c r="AL28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83" spans="1:38" hidden="1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tr">
        <f>IF(HR_Data[[#This Row],[Age]]&lt;30,"Under 30",IF(HR_Data[[#This Row],[Age]]&lt;=40,"30-40",IF(HR_Data[[#This Row],[Age]]&lt;=50,"41-50","50+")))</f>
        <v>41-50</v>
      </c>
      <c r="AK283" t="str">
        <f>IF(HR_Data[[#This Row],[MonthlyIncome]]&lt;4000,"Low",IF(HR_Data[[#This Row],[MonthlyIncome]]&lt;=7000,"Medium","High"))</f>
        <v>Medium</v>
      </c>
      <c r="AL283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284" spans="1:38" hidden="1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tr">
        <f>IF(HR_Data[[#This Row],[Age]]&lt;30,"Under 30",IF(HR_Data[[#This Row],[Age]]&lt;=40,"30-40",IF(HR_Data[[#This Row],[Age]]&lt;=50,"41-50","50+")))</f>
        <v>Under 30</v>
      </c>
      <c r="AK284" t="str">
        <f>IF(HR_Data[[#This Row],[MonthlyIncome]]&lt;4000,"Low",IF(HR_Data[[#This Row],[MonthlyIncome]]&lt;=7000,"Medium","High"))</f>
        <v>Medium</v>
      </c>
      <c r="AL28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285" spans="1:38" hidden="1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tr">
        <f>IF(HR_Data[[#This Row],[Age]]&lt;30,"Under 30",IF(HR_Data[[#This Row],[Age]]&lt;=40,"30-40",IF(HR_Data[[#This Row],[Age]]&lt;=50,"41-50","50+")))</f>
        <v>50+</v>
      </c>
      <c r="AK285" t="str">
        <f>IF(HR_Data[[#This Row],[MonthlyIncome]]&lt;4000,"Low",IF(HR_Data[[#This Row],[MonthlyIncome]]&lt;=7000,"Medium","High"))</f>
        <v>Medium</v>
      </c>
      <c r="AL28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286" spans="1:38" hidden="1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tr">
        <f>IF(HR_Data[[#This Row],[Age]]&lt;30,"Under 30",IF(HR_Data[[#This Row],[Age]]&lt;=40,"30-40",IF(HR_Data[[#This Row],[Age]]&lt;=50,"41-50","50+")))</f>
        <v>Under 30</v>
      </c>
      <c r="AK286" t="str">
        <f>IF(HR_Data[[#This Row],[MonthlyIncome]]&lt;4000,"Low",IF(HR_Data[[#This Row],[MonthlyIncome]]&lt;=7000,"Medium","High"))</f>
        <v>Medium</v>
      </c>
      <c r="AL28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87" spans="1:38" hidden="1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tr">
        <f>IF(HR_Data[[#This Row],[Age]]&lt;30,"Under 30",IF(HR_Data[[#This Row],[Age]]&lt;=40,"30-40",IF(HR_Data[[#This Row],[Age]]&lt;=50,"41-50","50+")))</f>
        <v>30-40</v>
      </c>
      <c r="AK287" t="str">
        <f>IF(HR_Data[[#This Row],[MonthlyIncome]]&lt;4000,"Low",IF(HR_Data[[#This Row],[MonthlyIncome]]&lt;=7000,"Medium","High"))</f>
        <v>Low</v>
      </c>
      <c r="AL287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288" spans="1:38" hidden="1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tr">
        <f>IF(HR_Data[[#This Row],[Age]]&lt;30,"Under 30",IF(HR_Data[[#This Row],[Age]]&lt;=40,"30-40",IF(HR_Data[[#This Row],[Age]]&lt;=50,"41-50","50+")))</f>
        <v>41-50</v>
      </c>
      <c r="AK288" t="str">
        <f>IF(HR_Data[[#This Row],[MonthlyIncome]]&lt;4000,"Low",IF(HR_Data[[#This Row],[MonthlyIncome]]&lt;=7000,"Medium","High"))</f>
        <v>Low</v>
      </c>
      <c r="AL288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289" spans="1:38" hidden="1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tr">
        <f>IF(HR_Data[[#This Row],[Age]]&lt;30,"Under 30",IF(HR_Data[[#This Row],[Age]]&lt;=40,"30-40",IF(HR_Data[[#This Row],[Age]]&lt;=50,"41-50","50+")))</f>
        <v>30-40</v>
      </c>
      <c r="AK289" t="str">
        <f>IF(HR_Data[[#This Row],[MonthlyIncome]]&lt;4000,"Low",IF(HR_Data[[#This Row],[MonthlyIncome]]&lt;=7000,"Medium","High"))</f>
        <v>Medium</v>
      </c>
      <c r="AL28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90" spans="1:38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tr">
        <f>IF(HR_Data[[#This Row],[Age]]&lt;30,"Under 30",IF(HR_Data[[#This Row],[Age]]&lt;=40,"30-40",IF(HR_Data[[#This Row],[Age]]&lt;=50,"41-50","50+")))</f>
        <v>Under 30</v>
      </c>
      <c r="AK290" t="str">
        <f>IF(HR_Data[[#This Row],[MonthlyIncome]]&lt;4000,"Low",IF(HR_Data[[#This Row],[MonthlyIncome]]&lt;=7000,"Medium","High"))</f>
        <v>Low</v>
      </c>
      <c r="AL29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91" spans="1:38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tr">
        <f>IF(HR_Data[[#This Row],[Age]]&lt;30,"Under 30",IF(HR_Data[[#This Row],[Age]]&lt;=40,"30-40",IF(HR_Data[[#This Row],[Age]]&lt;=50,"41-50","50+")))</f>
        <v>Under 30</v>
      </c>
      <c r="AK291" t="str">
        <f>IF(HR_Data[[#This Row],[MonthlyIncome]]&lt;4000,"Low",IF(HR_Data[[#This Row],[MonthlyIncome]]&lt;=7000,"Medium","High"))</f>
        <v>Low</v>
      </c>
      <c r="AL29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92" spans="1:38" hidden="1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tr">
        <f>IF(HR_Data[[#This Row],[Age]]&lt;30,"Under 30",IF(HR_Data[[#This Row],[Age]]&lt;=40,"30-40",IF(HR_Data[[#This Row],[Age]]&lt;=50,"41-50","50+")))</f>
        <v>41-50</v>
      </c>
      <c r="AK292" t="str">
        <f>IF(HR_Data[[#This Row],[MonthlyIncome]]&lt;4000,"Low",IF(HR_Data[[#This Row],[MonthlyIncome]]&lt;=7000,"Medium","High"))</f>
        <v>High</v>
      </c>
      <c r="AL29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93" spans="1:38" hidden="1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tr">
        <f>IF(HR_Data[[#This Row],[Age]]&lt;30,"Under 30",IF(HR_Data[[#This Row],[Age]]&lt;=40,"30-40",IF(HR_Data[[#This Row],[Age]]&lt;=50,"41-50","50+")))</f>
        <v>30-40</v>
      </c>
      <c r="AK293" t="str">
        <f>IF(HR_Data[[#This Row],[MonthlyIncome]]&lt;4000,"Low",IF(HR_Data[[#This Row],[MonthlyIncome]]&lt;=7000,"Medium","High"))</f>
        <v>Medium</v>
      </c>
      <c r="AL29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294" spans="1:38" hidden="1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tr">
        <f>IF(HR_Data[[#This Row],[Age]]&lt;30,"Under 30",IF(HR_Data[[#This Row],[Age]]&lt;=40,"30-40",IF(HR_Data[[#This Row],[Age]]&lt;=50,"41-50","50+")))</f>
        <v>30-40</v>
      </c>
      <c r="AK294" t="str">
        <f>IF(HR_Data[[#This Row],[MonthlyIncome]]&lt;4000,"Low",IF(HR_Data[[#This Row],[MonthlyIncome]]&lt;=7000,"Medium","High"))</f>
        <v>Low</v>
      </c>
      <c r="AL29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95" spans="1:38" hidden="1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tr">
        <f>IF(HR_Data[[#This Row],[Age]]&lt;30,"Under 30",IF(HR_Data[[#This Row],[Age]]&lt;=40,"30-40",IF(HR_Data[[#This Row],[Age]]&lt;=50,"41-50","50+")))</f>
        <v>Under 30</v>
      </c>
      <c r="AK295" t="str">
        <f>IF(HR_Data[[#This Row],[MonthlyIncome]]&lt;4000,"Low",IF(HR_Data[[#This Row],[MonthlyIncome]]&lt;=7000,"Medium","High"))</f>
        <v>Medium</v>
      </c>
      <c r="AL29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296" spans="1:38" hidden="1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tr">
        <f>IF(HR_Data[[#This Row],[Age]]&lt;30,"Under 30",IF(HR_Data[[#This Row],[Age]]&lt;=40,"30-40",IF(HR_Data[[#This Row],[Age]]&lt;=50,"41-50","50+")))</f>
        <v>30-40</v>
      </c>
      <c r="AK296" t="str">
        <f>IF(HR_Data[[#This Row],[MonthlyIncome]]&lt;4000,"Low",IF(HR_Data[[#This Row],[MonthlyIncome]]&lt;=7000,"Medium","High"))</f>
        <v>Low</v>
      </c>
      <c r="AL29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297" spans="1:38" hidden="1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tr">
        <f>IF(HR_Data[[#This Row],[Age]]&lt;30,"Under 30",IF(HR_Data[[#This Row],[Age]]&lt;=40,"30-40",IF(HR_Data[[#This Row],[Age]]&lt;=50,"41-50","50+")))</f>
        <v>41-50</v>
      </c>
      <c r="AK297" t="str">
        <f>IF(HR_Data[[#This Row],[MonthlyIncome]]&lt;4000,"Low",IF(HR_Data[[#This Row],[MonthlyIncome]]&lt;=7000,"Medium","High"))</f>
        <v>High</v>
      </c>
      <c r="AL297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298" spans="1:38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t="str">
        <f>IF(HR_Data[[#This Row],[Age]]&lt;30,"Under 30",IF(HR_Data[[#This Row],[Age]]&lt;=40,"30-40",IF(HR_Data[[#This Row],[Age]]&lt;=50,"41-50","50+")))</f>
        <v>Under 30</v>
      </c>
      <c r="AK298" t="str">
        <f>IF(HR_Data[[#This Row],[MonthlyIncome]]&lt;4000,"Low",IF(HR_Data[[#This Row],[MonthlyIncome]]&lt;=7000,"Medium","High"))</f>
        <v>Low</v>
      </c>
      <c r="AL298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299" spans="1:38" hidden="1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tr">
        <f>IF(HR_Data[[#This Row],[Age]]&lt;30,"Under 30",IF(HR_Data[[#This Row],[Age]]&lt;=40,"30-40",IF(HR_Data[[#This Row],[Age]]&lt;=50,"41-50","50+")))</f>
        <v>30-40</v>
      </c>
      <c r="AK299" t="str">
        <f>IF(HR_Data[[#This Row],[MonthlyIncome]]&lt;4000,"Low",IF(HR_Data[[#This Row],[MonthlyIncome]]&lt;=7000,"Medium","High"))</f>
        <v>High</v>
      </c>
      <c r="AL299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300" spans="1:38" hidden="1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tr">
        <f>IF(HR_Data[[#This Row],[Age]]&lt;30,"Under 30",IF(HR_Data[[#This Row],[Age]]&lt;=40,"30-40",IF(HR_Data[[#This Row],[Age]]&lt;=50,"41-50","50+")))</f>
        <v>30-40</v>
      </c>
      <c r="AK300" t="str">
        <f>IF(HR_Data[[#This Row],[MonthlyIncome]]&lt;4000,"Low",IF(HR_Data[[#This Row],[MonthlyIncome]]&lt;=7000,"Medium","High"))</f>
        <v>Low</v>
      </c>
      <c r="AL300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301" spans="1:38" hidden="1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tr">
        <f>IF(HR_Data[[#This Row],[Age]]&lt;30,"Under 30",IF(HR_Data[[#This Row],[Age]]&lt;=40,"30-40",IF(HR_Data[[#This Row],[Age]]&lt;=50,"41-50","50+")))</f>
        <v>50+</v>
      </c>
      <c r="AK301" t="str">
        <f>IF(HR_Data[[#This Row],[MonthlyIncome]]&lt;4000,"Low",IF(HR_Data[[#This Row],[MonthlyIncome]]&lt;=7000,"Medium","High"))</f>
        <v>Medium</v>
      </c>
      <c r="AL30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02" spans="1:38" hidden="1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tr">
        <f>IF(HR_Data[[#This Row],[Age]]&lt;30,"Under 30",IF(HR_Data[[#This Row],[Age]]&lt;=40,"30-40",IF(HR_Data[[#This Row],[Age]]&lt;=50,"41-50","50+")))</f>
        <v>41-50</v>
      </c>
      <c r="AK302" t="str">
        <f>IF(HR_Data[[#This Row],[MonthlyIncome]]&lt;4000,"Low",IF(HR_Data[[#This Row],[MonthlyIncome]]&lt;=7000,"Medium","High"))</f>
        <v>High</v>
      </c>
      <c r="AL302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303" spans="1:38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t="str">
        <f>IF(HR_Data[[#This Row],[Age]]&lt;30,"Under 30",IF(HR_Data[[#This Row],[Age]]&lt;=40,"30-40",IF(HR_Data[[#This Row],[Age]]&lt;=50,"41-50","50+")))</f>
        <v>Under 30</v>
      </c>
      <c r="AK303" t="str">
        <f>IF(HR_Data[[#This Row],[MonthlyIncome]]&lt;4000,"Low",IF(HR_Data[[#This Row],[MonthlyIncome]]&lt;=7000,"Medium","High"))</f>
        <v>Low</v>
      </c>
      <c r="AL303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304" spans="1:38" hidden="1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tr">
        <f>IF(HR_Data[[#This Row],[Age]]&lt;30,"Under 30",IF(HR_Data[[#This Row],[Age]]&lt;=40,"30-40",IF(HR_Data[[#This Row],[Age]]&lt;=50,"41-50","50+")))</f>
        <v>Under 30</v>
      </c>
      <c r="AK304" t="str">
        <f>IF(HR_Data[[#This Row],[MonthlyIncome]]&lt;4000,"Low",IF(HR_Data[[#This Row],[MonthlyIncome]]&lt;=7000,"Medium","High"))</f>
        <v>Medium</v>
      </c>
      <c r="AL30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305" spans="1:38" hidden="1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tr">
        <f>IF(HR_Data[[#This Row],[Age]]&lt;30,"Under 30",IF(HR_Data[[#This Row],[Age]]&lt;=40,"30-40",IF(HR_Data[[#This Row],[Age]]&lt;=50,"41-50","50+")))</f>
        <v>30-40</v>
      </c>
      <c r="AK305" t="str">
        <f>IF(HR_Data[[#This Row],[MonthlyIncome]]&lt;4000,"Low",IF(HR_Data[[#This Row],[MonthlyIncome]]&lt;=7000,"Medium","High"))</f>
        <v>Medium</v>
      </c>
      <c r="AL30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306" spans="1:38" hidden="1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tr">
        <f>IF(HR_Data[[#This Row],[Age]]&lt;30,"Under 30",IF(HR_Data[[#This Row],[Age]]&lt;=40,"30-40",IF(HR_Data[[#This Row],[Age]]&lt;=50,"41-50","50+")))</f>
        <v>30-40</v>
      </c>
      <c r="AK306" t="str">
        <f>IF(HR_Data[[#This Row],[MonthlyIncome]]&lt;4000,"Low",IF(HR_Data[[#This Row],[MonthlyIncome]]&lt;=7000,"Medium","High"))</f>
        <v>High</v>
      </c>
      <c r="AL306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307" spans="1:38" hidden="1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tr">
        <f>IF(HR_Data[[#This Row],[Age]]&lt;30,"Under 30",IF(HR_Data[[#This Row],[Age]]&lt;=40,"30-40",IF(HR_Data[[#This Row],[Age]]&lt;=50,"41-50","50+")))</f>
        <v>30-40</v>
      </c>
      <c r="AK307" t="str">
        <f>IF(HR_Data[[#This Row],[MonthlyIncome]]&lt;4000,"Low",IF(HR_Data[[#This Row],[MonthlyIncome]]&lt;=7000,"Medium","High"))</f>
        <v>Medium</v>
      </c>
      <c r="AL30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308" spans="1:38" hidden="1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tr">
        <f>IF(HR_Data[[#This Row],[Age]]&lt;30,"Under 30",IF(HR_Data[[#This Row],[Age]]&lt;=40,"30-40",IF(HR_Data[[#This Row],[Age]]&lt;=50,"41-50","50+")))</f>
        <v>30-40</v>
      </c>
      <c r="AK308" t="str">
        <f>IF(HR_Data[[#This Row],[MonthlyIncome]]&lt;4000,"Low",IF(HR_Data[[#This Row],[MonthlyIncome]]&lt;=7000,"Medium","High"))</f>
        <v>Medium</v>
      </c>
      <c r="AL308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309" spans="1:38" hidden="1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tr">
        <f>IF(HR_Data[[#This Row],[Age]]&lt;30,"Under 30",IF(HR_Data[[#This Row],[Age]]&lt;=40,"30-40",IF(HR_Data[[#This Row],[Age]]&lt;=50,"41-50","50+")))</f>
        <v>30-40</v>
      </c>
      <c r="AK309" t="str">
        <f>IF(HR_Data[[#This Row],[MonthlyIncome]]&lt;4000,"Low",IF(HR_Data[[#This Row],[MonthlyIncome]]&lt;=7000,"Medium","High"))</f>
        <v>High</v>
      </c>
      <c r="AL309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310" spans="1:38" hidden="1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tr">
        <f>IF(HR_Data[[#This Row],[Age]]&lt;30,"Under 30",IF(HR_Data[[#This Row],[Age]]&lt;=40,"30-40",IF(HR_Data[[#This Row],[Age]]&lt;=50,"41-50","50+")))</f>
        <v>50+</v>
      </c>
      <c r="AK310" t="str">
        <f>IF(HR_Data[[#This Row],[MonthlyIncome]]&lt;4000,"Low",IF(HR_Data[[#This Row],[MonthlyIncome]]&lt;=7000,"Medium","High"))</f>
        <v>Medium</v>
      </c>
      <c r="AL31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11" spans="1:38" hidden="1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tr">
        <f>IF(HR_Data[[#This Row],[Age]]&lt;30,"Under 30",IF(HR_Data[[#This Row],[Age]]&lt;=40,"30-40",IF(HR_Data[[#This Row],[Age]]&lt;=50,"41-50","50+")))</f>
        <v>30-40</v>
      </c>
      <c r="AK311" t="str">
        <f>IF(HR_Data[[#This Row],[MonthlyIncome]]&lt;4000,"Low",IF(HR_Data[[#This Row],[MonthlyIncome]]&lt;=7000,"Medium","High"))</f>
        <v>Medium</v>
      </c>
      <c r="AL31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12" spans="1:38" hidden="1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tr">
        <f>IF(HR_Data[[#This Row],[Age]]&lt;30,"Under 30",IF(HR_Data[[#This Row],[Age]]&lt;=40,"30-40",IF(HR_Data[[#This Row],[Age]]&lt;=50,"41-50","50+")))</f>
        <v>30-40</v>
      </c>
      <c r="AK312" t="str">
        <f>IF(HR_Data[[#This Row],[MonthlyIncome]]&lt;4000,"Low",IF(HR_Data[[#This Row],[MonthlyIncome]]&lt;=7000,"Medium","High"))</f>
        <v>Medium</v>
      </c>
      <c r="AL31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13" spans="1:38" hidden="1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tr">
        <f>IF(HR_Data[[#This Row],[Age]]&lt;30,"Under 30",IF(HR_Data[[#This Row],[Age]]&lt;=40,"30-40",IF(HR_Data[[#This Row],[Age]]&lt;=50,"41-50","50+")))</f>
        <v>41-50</v>
      </c>
      <c r="AK313" t="str">
        <f>IF(HR_Data[[#This Row],[MonthlyIncome]]&lt;4000,"Low",IF(HR_Data[[#This Row],[MonthlyIncome]]&lt;=7000,"Medium","High"))</f>
        <v>Medium</v>
      </c>
      <c r="AL313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314" spans="1:38" hidden="1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tr">
        <f>IF(HR_Data[[#This Row],[Age]]&lt;30,"Under 30",IF(HR_Data[[#This Row],[Age]]&lt;=40,"30-40",IF(HR_Data[[#This Row],[Age]]&lt;=50,"41-50","50+")))</f>
        <v>30-40</v>
      </c>
      <c r="AK314" t="str">
        <f>IF(HR_Data[[#This Row],[MonthlyIncome]]&lt;4000,"Low",IF(HR_Data[[#This Row],[MonthlyIncome]]&lt;=7000,"Medium","High"))</f>
        <v>Low</v>
      </c>
      <c r="AL31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15" spans="1:38" hidden="1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tr">
        <f>IF(HR_Data[[#This Row],[Age]]&lt;30,"Under 30",IF(HR_Data[[#This Row],[Age]]&lt;=40,"30-40",IF(HR_Data[[#This Row],[Age]]&lt;=50,"41-50","50+")))</f>
        <v>30-40</v>
      </c>
      <c r="AK315" t="str">
        <f>IF(HR_Data[[#This Row],[MonthlyIncome]]&lt;4000,"Low",IF(HR_Data[[#This Row],[MonthlyIncome]]&lt;=7000,"Medium","High"))</f>
        <v>High</v>
      </c>
      <c r="AL31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316" spans="1:38" hidden="1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tr">
        <f>IF(HR_Data[[#This Row],[Age]]&lt;30,"Under 30",IF(HR_Data[[#This Row],[Age]]&lt;=40,"30-40",IF(HR_Data[[#This Row],[Age]]&lt;=50,"41-50","50+")))</f>
        <v>30-40</v>
      </c>
      <c r="AK316" t="str">
        <f>IF(HR_Data[[#This Row],[MonthlyIncome]]&lt;4000,"Low",IF(HR_Data[[#This Row],[MonthlyIncome]]&lt;=7000,"Medium","High"))</f>
        <v>High</v>
      </c>
      <c r="AL316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317" spans="1:38" hidden="1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tr">
        <f>IF(HR_Data[[#This Row],[Age]]&lt;30,"Under 30",IF(HR_Data[[#This Row],[Age]]&lt;=40,"30-40",IF(HR_Data[[#This Row],[Age]]&lt;=50,"41-50","50+")))</f>
        <v>41-50</v>
      </c>
      <c r="AK317" t="str">
        <f>IF(HR_Data[[#This Row],[MonthlyIncome]]&lt;4000,"Low",IF(HR_Data[[#This Row],[MonthlyIncome]]&lt;=7000,"Medium","High"))</f>
        <v>Low</v>
      </c>
      <c r="AL31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318" spans="1:38" hidden="1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tr">
        <f>IF(HR_Data[[#This Row],[Age]]&lt;30,"Under 30",IF(HR_Data[[#This Row],[Age]]&lt;=40,"30-40",IF(HR_Data[[#This Row],[Age]]&lt;=50,"41-50","50+")))</f>
        <v>41-50</v>
      </c>
      <c r="AK318" t="str">
        <f>IF(HR_Data[[#This Row],[MonthlyIncome]]&lt;4000,"Low",IF(HR_Data[[#This Row],[MonthlyIncome]]&lt;=7000,"Medium","High"))</f>
        <v>High</v>
      </c>
      <c r="AL31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319" spans="1:38" hidden="1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tr">
        <f>IF(HR_Data[[#This Row],[Age]]&lt;30,"Under 30",IF(HR_Data[[#This Row],[Age]]&lt;=40,"30-40",IF(HR_Data[[#This Row],[Age]]&lt;=50,"41-50","50+")))</f>
        <v>50+</v>
      </c>
      <c r="AK319" t="str">
        <f>IF(HR_Data[[#This Row],[MonthlyIncome]]&lt;4000,"Low",IF(HR_Data[[#This Row],[MonthlyIncome]]&lt;=7000,"Medium","High"))</f>
        <v>Medium</v>
      </c>
      <c r="AL319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320" spans="1:38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tr">
        <f>IF(HR_Data[[#This Row],[Age]]&lt;30,"Under 30",IF(HR_Data[[#This Row],[Age]]&lt;=40,"30-40",IF(HR_Data[[#This Row],[Age]]&lt;=50,"41-50","50+")))</f>
        <v>Under 30</v>
      </c>
      <c r="AK320" t="str">
        <f>IF(HR_Data[[#This Row],[MonthlyIncome]]&lt;4000,"Low",IF(HR_Data[[#This Row],[MonthlyIncome]]&lt;=7000,"Medium","High"))</f>
        <v>Low</v>
      </c>
      <c r="AL32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21" spans="1:38" hidden="1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tr">
        <f>IF(HR_Data[[#This Row],[Age]]&lt;30,"Under 30",IF(HR_Data[[#This Row],[Age]]&lt;=40,"30-40",IF(HR_Data[[#This Row],[Age]]&lt;=50,"41-50","50+")))</f>
        <v>30-40</v>
      </c>
      <c r="AK321" t="str">
        <f>IF(HR_Data[[#This Row],[MonthlyIncome]]&lt;4000,"Low",IF(HR_Data[[#This Row],[MonthlyIncome]]&lt;=7000,"Medium","High"))</f>
        <v>Medium</v>
      </c>
      <c r="AL321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322" spans="1:38" hidden="1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tr">
        <f>IF(HR_Data[[#This Row],[Age]]&lt;30,"Under 30",IF(HR_Data[[#This Row],[Age]]&lt;=40,"30-40",IF(HR_Data[[#This Row],[Age]]&lt;=50,"41-50","50+")))</f>
        <v>Under 30</v>
      </c>
      <c r="AK322" t="str">
        <f>IF(HR_Data[[#This Row],[MonthlyIncome]]&lt;4000,"Low",IF(HR_Data[[#This Row],[MonthlyIncome]]&lt;=7000,"Medium","High"))</f>
        <v>Medium</v>
      </c>
      <c r="AL32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23" spans="1:38" hidden="1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tr">
        <f>IF(HR_Data[[#This Row],[Age]]&lt;30,"Under 30",IF(HR_Data[[#This Row],[Age]]&lt;=40,"30-40",IF(HR_Data[[#This Row],[Age]]&lt;=50,"41-50","50+")))</f>
        <v>30-40</v>
      </c>
      <c r="AK323" t="str">
        <f>IF(HR_Data[[#This Row],[MonthlyIncome]]&lt;4000,"Low",IF(HR_Data[[#This Row],[MonthlyIncome]]&lt;=7000,"Medium","High"))</f>
        <v>High</v>
      </c>
      <c r="AL32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324" spans="1:38" hidden="1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tr">
        <f>IF(HR_Data[[#This Row],[Age]]&lt;30,"Under 30",IF(HR_Data[[#This Row],[Age]]&lt;=40,"30-40",IF(HR_Data[[#This Row],[Age]]&lt;=50,"41-50","50+")))</f>
        <v>30-40</v>
      </c>
      <c r="AK324" t="str">
        <f>IF(HR_Data[[#This Row],[MonthlyIncome]]&lt;4000,"Low",IF(HR_Data[[#This Row],[MonthlyIncome]]&lt;=7000,"Medium","High"))</f>
        <v>Medium</v>
      </c>
      <c r="AL32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325" spans="1:38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tr">
        <f>IF(HR_Data[[#This Row],[Age]]&lt;30,"Under 30",IF(HR_Data[[#This Row],[Age]]&lt;=40,"30-40",IF(HR_Data[[#This Row],[Age]]&lt;=50,"41-50","50+")))</f>
        <v>Under 30</v>
      </c>
      <c r="AK325" t="str">
        <f>IF(HR_Data[[#This Row],[MonthlyIncome]]&lt;4000,"Low",IF(HR_Data[[#This Row],[MonthlyIncome]]&lt;=7000,"Medium","High"))</f>
        <v>Low</v>
      </c>
      <c r="AL32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26" spans="1:38" hidden="1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tr">
        <f>IF(HR_Data[[#This Row],[Age]]&lt;30,"Under 30",IF(HR_Data[[#This Row],[Age]]&lt;=40,"30-40",IF(HR_Data[[#This Row],[Age]]&lt;=50,"41-50","50+")))</f>
        <v>30-40</v>
      </c>
      <c r="AK326" t="str">
        <f>IF(HR_Data[[#This Row],[MonthlyIncome]]&lt;4000,"Low",IF(HR_Data[[#This Row],[MonthlyIncome]]&lt;=7000,"Medium","High"))</f>
        <v>Medium</v>
      </c>
      <c r="AL32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327" spans="1:38" hidden="1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tr">
        <f>IF(HR_Data[[#This Row],[Age]]&lt;30,"Under 30",IF(HR_Data[[#This Row],[Age]]&lt;=40,"30-40",IF(HR_Data[[#This Row],[Age]]&lt;=50,"41-50","50+")))</f>
        <v>30-40</v>
      </c>
      <c r="AK327" t="str">
        <f>IF(HR_Data[[#This Row],[MonthlyIncome]]&lt;4000,"Low",IF(HR_Data[[#This Row],[MonthlyIncome]]&lt;=7000,"Medium","High"))</f>
        <v>High</v>
      </c>
      <c r="AL32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328" spans="1:38" hidden="1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tr">
        <f>IF(HR_Data[[#This Row],[Age]]&lt;30,"Under 30",IF(HR_Data[[#This Row],[Age]]&lt;=40,"30-40",IF(HR_Data[[#This Row],[Age]]&lt;=50,"41-50","50+")))</f>
        <v>30-40</v>
      </c>
      <c r="AK328" t="str">
        <f>IF(HR_Data[[#This Row],[MonthlyIncome]]&lt;4000,"Low",IF(HR_Data[[#This Row],[MonthlyIncome]]&lt;=7000,"Medium","High"))</f>
        <v>High</v>
      </c>
      <c r="AL328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329" spans="1:38" hidden="1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tr">
        <f>IF(HR_Data[[#This Row],[Age]]&lt;30,"Under 30",IF(HR_Data[[#This Row],[Age]]&lt;=40,"30-40",IF(HR_Data[[#This Row],[Age]]&lt;=50,"41-50","50+")))</f>
        <v>30-40</v>
      </c>
      <c r="AK329" t="str">
        <f>IF(HR_Data[[#This Row],[MonthlyIncome]]&lt;4000,"Low",IF(HR_Data[[#This Row],[MonthlyIncome]]&lt;=7000,"Medium","High"))</f>
        <v>Medium</v>
      </c>
      <c r="AL329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330" spans="1:38" hidden="1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tr">
        <f>IF(HR_Data[[#This Row],[Age]]&lt;30,"Under 30",IF(HR_Data[[#This Row],[Age]]&lt;=40,"30-40",IF(HR_Data[[#This Row],[Age]]&lt;=50,"41-50","50+")))</f>
        <v>30-40</v>
      </c>
      <c r="AK330" t="str">
        <f>IF(HR_Data[[#This Row],[MonthlyIncome]]&lt;4000,"Low",IF(HR_Data[[#This Row],[MonthlyIncome]]&lt;=7000,"Medium","High"))</f>
        <v>Medium</v>
      </c>
      <c r="AL33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331" spans="1:38" hidden="1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tr">
        <f>IF(HR_Data[[#This Row],[Age]]&lt;30,"Under 30",IF(HR_Data[[#This Row],[Age]]&lt;=40,"30-40",IF(HR_Data[[#This Row],[Age]]&lt;=50,"41-50","50+")))</f>
        <v>41-50</v>
      </c>
      <c r="AK331" t="str">
        <f>IF(HR_Data[[#This Row],[MonthlyIncome]]&lt;4000,"Low",IF(HR_Data[[#This Row],[MonthlyIncome]]&lt;=7000,"Medium","High"))</f>
        <v>High</v>
      </c>
      <c r="AL33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32" spans="1:38" hidden="1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tr">
        <f>IF(HR_Data[[#This Row],[Age]]&lt;30,"Under 30",IF(HR_Data[[#This Row],[Age]]&lt;=40,"30-40",IF(HR_Data[[#This Row],[Age]]&lt;=50,"41-50","50+")))</f>
        <v>41-50</v>
      </c>
      <c r="AK332" t="str">
        <f>IF(HR_Data[[#This Row],[MonthlyIncome]]&lt;4000,"Low",IF(HR_Data[[#This Row],[MonthlyIncome]]&lt;=7000,"Medium","High"))</f>
        <v>Medium</v>
      </c>
      <c r="AL33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333" spans="1:38" hidden="1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tr">
        <f>IF(HR_Data[[#This Row],[Age]]&lt;30,"Under 30",IF(HR_Data[[#This Row],[Age]]&lt;=40,"30-40",IF(HR_Data[[#This Row],[Age]]&lt;=50,"41-50","50+")))</f>
        <v>Under 30</v>
      </c>
      <c r="AK333" t="str">
        <f>IF(HR_Data[[#This Row],[MonthlyIncome]]&lt;4000,"Low",IF(HR_Data[[#This Row],[MonthlyIncome]]&lt;=7000,"Medium","High"))</f>
        <v>Medium</v>
      </c>
      <c r="AL33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34" spans="1:38" hidden="1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tr">
        <f>IF(HR_Data[[#This Row],[Age]]&lt;30,"Under 30",IF(HR_Data[[#This Row],[Age]]&lt;=40,"30-40",IF(HR_Data[[#This Row],[Age]]&lt;=50,"41-50","50+")))</f>
        <v>50+</v>
      </c>
      <c r="AK334" t="str">
        <f>IF(HR_Data[[#This Row],[MonthlyIncome]]&lt;4000,"Low",IF(HR_Data[[#This Row],[MonthlyIncome]]&lt;=7000,"Medium","High"))</f>
        <v>Medium</v>
      </c>
      <c r="AL33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35" spans="1:38" hidden="1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tr">
        <f>IF(HR_Data[[#This Row],[Age]]&lt;30,"Under 30",IF(HR_Data[[#This Row],[Age]]&lt;=40,"30-40",IF(HR_Data[[#This Row],[Age]]&lt;=50,"41-50","50+")))</f>
        <v>41-50</v>
      </c>
      <c r="AK335" t="str">
        <f>IF(HR_Data[[#This Row],[MonthlyIncome]]&lt;4000,"Low",IF(HR_Data[[#This Row],[MonthlyIncome]]&lt;=7000,"Medium","High"))</f>
        <v>High</v>
      </c>
      <c r="AL335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336" spans="1:38" hidden="1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tr">
        <f>IF(HR_Data[[#This Row],[Age]]&lt;30,"Under 30",IF(HR_Data[[#This Row],[Age]]&lt;=40,"30-40",IF(HR_Data[[#This Row],[Age]]&lt;=50,"41-50","50+")))</f>
        <v>41-50</v>
      </c>
      <c r="AK336" t="str">
        <f>IF(HR_Data[[#This Row],[MonthlyIncome]]&lt;4000,"Low",IF(HR_Data[[#This Row],[MonthlyIncome]]&lt;=7000,"Medium","High"))</f>
        <v>Low</v>
      </c>
      <c r="AL33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337" spans="1:38" hidden="1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tr">
        <f>IF(HR_Data[[#This Row],[Age]]&lt;30,"Under 30",IF(HR_Data[[#This Row],[Age]]&lt;=40,"30-40",IF(HR_Data[[#This Row],[Age]]&lt;=50,"41-50","50+")))</f>
        <v>30-40</v>
      </c>
      <c r="AK337" t="str">
        <f>IF(HR_Data[[#This Row],[MonthlyIncome]]&lt;4000,"Low",IF(HR_Data[[#This Row],[MonthlyIncome]]&lt;=7000,"Medium","High"))</f>
        <v>High</v>
      </c>
      <c r="AL33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38" spans="1:38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tr">
        <f>IF(HR_Data[[#This Row],[Age]]&lt;30,"Under 30",IF(HR_Data[[#This Row],[Age]]&lt;=40,"30-40",IF(HR_Data[[#This Row],[Age]]&lt;=50,"41-50","50+")))</f>
        <v>Under 30</v>
      </c>
      <c r="AK338" t="str">
        <f>IF(HR_Data[[#This Row],[MonthlyIncome]]&lt;4000,"Low",IF(HR_Data[[#This Row],[MonthlyIncome]]&lt;=7000,"Medium","High"))</f>
        <v>Low</v>
      </c>
      <c r="AL33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339" spans="1:38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tr">
        <f>IF(HR_Data[[#This Row],[Age]]&lt;30,"Under 30",IF(HR_Data[[#This Row],[Age]]&lt;=40,"30-40",IF(HR_Data[[#This Row],[Age]]&lt;=50,"41-50","50+")))</f>
        <v>Under 30</v>
      </c>
      <c r="AK339" t="str">
        <f>IF(HR_Data[[#This Row],[MonthlyIncome]]&lt;4000,"Low",IF(HR_Data[[#This Row],[MonthlyIncome]]&lt;=7000,"Medium","High"))</f>
        <v>Low</v>
      </c>
      <c r="AL33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40" spans="1:38" hidden="1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tr">
        <f>IF(HR_Data[[#This Row],[Age]]&lt;30,"Under 30",IF(HR_Data[[#This Row],[Age]]&lt;=40,"30-40",IF(HR_Data[[#This Row],[Age]]&lt;=50,"41-50","50+")))</f>
        <v>30-40</v>
      </c>
      <c r="AK340" t="str">
        <f>IF(HR_Data[[#This Row],[MonthlyIncome]]&lt;4000,"Low",IF(HR_Data[[#This Row],[MonthlyIncome]]&lt;=7000,"Medium","High"))</f>
        <v>Medium</v>
      </c>
      <c r="AL34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341" spans="1:38" hidden="1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tr">
        <f>IF(HR_Data[[#This Row],[Age]]&lt;30,"Under 30",IF(HR_Data[[#This Row],[Age]]&lt;=40,"30-40",IF(HR_Data[[#This Row],[Age]]&lt;=50,"41-50","50+")))</f>
        <v>Under 30</v>
      </c>
      <c r="AK341" t="str">
        <f>IF(HR_Data[[#This Row],[MonthlyIncome]]&lt;4000,"Low",IF(HR_Data[[#This Row],[MonthlyIncome]]&lt;=7000,"Medium","High"))</f>
        <v>Medium</v>
      </c>
      <c r="AL34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342" spans="1:38" hidden="1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tr">
        <f>IF(HR_Data[[#This Row],[Age]]&lt;30,"Under 30",IF(HR_Data[[#This Row],[Age]]&lt;=40,"30-40",IF(HR_Data[[#This Row],[Age]]&lt;=50,"41-50","50+")))</f>
        <v>30-40</v>
      </c>
      <c r="AK342" t="str">
        <f>IF(HR_Data[[#This Row],[MonthlyIncome]]&lt;4000,"Low",IF(HR_Data[[#This Row],[MonthlyIncome]]&lt;=7000,"Medium","High"))</f>
        <v>Medium</v>
      </c>
      <c r="AL34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343" spans="1:38" hidden="1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tr">
        <f>IF(HR_Data[[#This Row],[Age]]&lt;30,"Under 30",IF(HR_Data[[#This Row],[Age]]&lt;=40,"30-40",IF(HR_Data[[#This Row],[Age]]&lt;=50,"41-50","50+")))</f>
        <v>30-40</v>
      </c>
      <c r="AK343" t="str">
        <f>IF(HR_Data[[#This Row],[MonthlyIncome]]&lt;4000,"Low",IF(HR_Data[[#This Row],[MonthlyIncome]]&lt;=7000,"Medium","High"))</f>
        <v>High</v>
      </c>
      <c r="AL343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344" spans="1:38" hidden="1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tr">
        <f>IF(HR_Data[[#This Row],[Age]]&lt;30,"Under 30",IF(HR_Data[[#This Row],[Age]]&lt;=40,"30-40",IF(HR_Data[[#This Row],[Age]]&lt;=50,"41-50","50+")))</f>
        <v>30-40</v>
      </c>
      <c r="AK344" t="str">
        <f>IF(HR_Data[[#This Row],[MonthlyIncome]]&lt;4000,"Low",IF(HR_Data[[#This Row],[MonthlyIncome]]&lt;=7000,"Medium","High"))</f>
        <v>High</v>
      </c>
      <c r="AL344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345" spans="1:38" hidden="1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tr">
        <f>IF(HR_Data[[#This Row],[Age]]&lt;30,"Under 30",IF(HR_Data[[#This Row],[Age]]&lt;=40,"30-40",IF(HR_Data[[#This Row],[Age]]&lt;=50,"41-50","50+")))</f>
        <v>Under 30</v>
      </c>
      <c r="AK345" t="str">
        <f>IF(HR_Data[[#This Row],[MonthlyIncome]]&lt;4000,"Low",IF(HR_Data[[#This Row],[MonthlyIncome]]&lt;=7000,"Medium","High"))</f>
        <v>High</v>
      </c>
      <c r="AL34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346" spans="1:38" hidden="1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tr">
        <f>IF(HR_Data[[#This Row],[Age]]&lt;30,"Under 30",IF(HR_Data[[#This Row],[Age]]&lt;=40,"30-40",IF(HR_Data[[#This Row],[Age]]&lt;=50,"41-50","50+")))</f>
        <v>30-40</v>
      </c>
      <c r="AK346" t="str">
        <f>IF(HR_Data[[#This Row],[MonthlyIncome]]&lt;4000,"Low",IF(HR_Data[[#This Row],[MonthlyIncome]]&lt;=7000,"Medium","High"))</f>
        <v>High</v>
      </c>
      <c r="AL346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347" spans="1:38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tr">
        <f>IF(HR_Data[[#This Row],[Age]]&lt;30,"Under 30",IF(HR_Data[[#This Row],[Age]]&lt;=40,"30-40",IF(HR_Data[[#This Row],[Age]]&lt;=50,"41-50","50+")))</f>
        <v>Under 30</v>
      </c>
      <c r="AK347" t="str">
        <f>IF(HR_Data[[#This Row],[MonthlyIncome]]&lt;4000,"Low",IF(HR_Data[[#This Row],[MonthlyIncome]]&lt;=7000,"Medium","High"))</f>
        <v>Low</v>
      </c>
      <c r="AL34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48" spans="1:38" hidden="1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tr">
        <f>IF(HR_Data[[#This Row],[Age]]&lt;30,"Under 30",IF(HR_Data[[#This Row],[Age]]&lt;=40,"30-40",IF(HR_Data[[#This Row],[Age]]&lt;=50,"41-50","50+")))</f>
        <v>41-50</v>
      </c>
      <c r="AK348" t="str">
        <f>IF(HR_Data[[#This Row],[MonthlyIncome]]&lt;4000,"Low",IF(HR_Data[[#This Row],[MonthlyIncome]]&lt;=7000,"Medium","High"))</f>
        <v>Medium</v>
      </c>
      <c r="AL34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49" spans="1:38" hidden="1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tr">
        <f>IF(HR_Data[[#This Row],[Age]]&lt;30,"Under 30",IF(HR_Data[[#This Row],[Age]]&lt;=40,"30-40",IF(HR_Data[[#This Row],[Age]]&lt;=50,"41-50","50+")))</f>
        <v>41-50</v>
      </c>
      <c r="AK349" t="str">
        <f>IF(HR_Data[[#This Row],[MonthlyIncome]]&lt;4000,"Low",IF(HR_Data[[#This Row],[MonthlyIncome]]&lt;=7000,"Medium","High"))</f>
        <v>Low</v>
      </c>
      <c r="AL349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350" spans="1:38" hidden="1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tr">
        <f>IF(HR_Data[[#This Row],[Age]]&lt;30,"Under 30",IF(HR_Data[[#This Row],[Age]]&lt;=40,"30-40",IF(HR_Data[[#This Row],[Age]]&lt;=50,"41-50","50+")))</f>
        <v>41-50</v>
      </c>
      <c r="AK350" t="str">
        <f>IF(HR_Data[[#This Row],[MonthlyIncome]]&lt;4000,"Low",IF(HR_Data[[#This Row],[MonthlyIncome]]&lt;=7000,"Medium","High"))</f>
        <v>High</v>
      </c>
      <c r="AL350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351" spans="1:38" hidden="1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tr">
        <f>IF(HR_Data[[#This Row],[Age]]&lt;30,"Under 30",IF(HR_Data[[#This Row],[Age]]&lt;=40,"30-40",IF(HR_Data[[#This Row],[Age]]&lt;=50,"41-50","50+")))</f>
        <v>Under 30</v>
      </c>
      <c r="AK351" t="str">
        <f>IF(HR_Data[[#This Row],[MonthlyIncome]]&lt;4000,"Low",IF(HR_Data[[#This Row],[MonthlyIncome]]&lt;=7000,"Medium","High"))</f>
        <v>Medium</v>
      </c>
      <c r="AL35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52" spans="1:38" hidden="1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tr">
        <f>IF(HR_Data[[#This Row],[Age]]&lt;30,"Under 30",IF(HR_Data[[#This Row],[Age]]&lt;=40,"30-40",IF(HR_Data[[#This Row],[Age]]&lt;=50,"41-50","50+")))</f>
        <v>41-50</v>
      </c>
      <c r="AK352" t="str">
        <f>IF(HR_Data[[#This Row],[MonthlyIncome]]&lt;4000,"Low",IF(HR_Data[[#This Row],[MonthlyIncome]]&lt;=7000,"Medium","High"))</f>
        <v>Low</v>
      </c>
      <c r="AL35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53" spans="1:38" hidden="1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tr">
        <f>IF(HR_Data[[#This Row],[Age]]&lt;30,"Under 30",IF(HR_Data[[#This Row],[Age]]&lt;=40,"30-40",IF(HR_Data[[#This Row],[Age]]&lt;=50,"41-50","50+")))</f>
        <v>30-40</v>
      </c>
      <c r="AK353" t="str">
        <f>IF(HR_Data[[#This Row],[MonthlyIncome]]&lt;4000,"Low",IF(HR_Data[[#This Row],[MonthlyIncome]]&lt;=7000,"Medium","High"))</f>
        <v>Low</v>
      </c>
      <c r="AL35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354" spans="1:38" hidden="1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tr">
        <f>IF(HR_Data[[#This Row],[Age]]&lt;30,"Under 30",IF(HR_Data[[#This Row],[Age]]&lt;=40,"30-40",IF(HR_Data[[#This Row],[Age]]&lt;=50,"41-50","50+")))</f>
        <v>41-50</v>
      </c>
      <c r="AK354" t="str">
        <f>IF(HR_Data[[#This Row],[MonthlyIncome]]&lt;4000,"Low",IF(HR_Data[[#This Row],[MonthlyIncome]]&lt;=7000,"Medium","High"))</f>
        <v>High</v>
      </c>
      <c r="AL354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355" spans="1:38" hidden="1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tr">
        <f>IF(HR_Data[[#This Row],[Age]]&lt;30,"Under 30",IF(HR_Data[[#This Row],[Age]]&lt;=40,"30-40",IF(HR_Data[[#This Row],[Age]]&lt;=50,"41-50","50+")))</f>
        <v>30-40</v>
      </c>
      <c r="AK355" t="str">
        <f>IF(HR_Data[[#This Row],[MonthlyIncome]]&lt;4000,"Low",IF(HR_Data[[#This Row],[MonthlyIncome]]&lt;=7000,"Medium","High"))</f>
        <v>Medium</v>
      </c>
      <c r="AL35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356" spans="1:38" hidden="1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tr">
        <f>IF(HR_Data[[#This Row],[Age]]&lt;30,"Under 30",IF(HR_Data[[#This Row],[Age]]&lt;=40,"30-40",IF(HR_Data[[#This Row],[Age]]&lt;=50,"41-50","50+")))</f>
        <v>30-40</v>
      </c>
      <c r="AK356" t="str">
        <f>IF(HR_Data[[#This Row],[MonthlyIncome]]&lt;4000,"Low",IF(HR_Data[[#This Row],[MonthlyIncome]]&lt;=7000,"Medium","High"))</f>
        <v>Medium</v>
      </c>
      <c r="AL35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57" spans="1:38" hidden="1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tr">
        <f>IF(HR_Data[[#This Row],[Age]]&lt;30,"Under 30",IF(HR_Data[[#This Row],[Age]]&lt;=40,"30-40",IF(HR_Data[[#This Row],[Age]]&lt;=50,"41-50","50+")))</f>
        <v>Under 30</v>
      </c>
      <c r="AK357" t="str">
        <f>IF(HR_Data[[#This Row],[MonthlyIncome]]&lt;4000,"Low",IF(HR_Data[[#This Row],[MonthlyIncome]]&lt;=7000,"Medium","High"))</f>
        <v>Medium</v>
      </c>
      <c r="AL35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358" spans="1:38" hidden="1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tr">
        <f>IF(HR_Data[[#This Row],[Age]]&lt;30,"Under 30",IF(HR_Data[[#This Row],[Age]]&lt;=40,"30-40",IF(HR_Data[[#This Row],[Age]]&lt;=50,"41-50","50+")))</f>
        <v>41-50</v>
      </c>
      <c r="AK358" t="str">
        <f>IF(HR_Data[[#This Row],[MonthlyIncome]]&lt;4000,"Low",IF(HR_Data[[#This Row],[MonthlyIncome]]&lt;=7000,"Medium","High"))</f>
        <v>Medium</v>
      </c>
      <c r="AL358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359" spans="1:38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tr">
        <f>IF(HR_Data[[#This Row],[Age]]&lt;30,"Under 30",IF(HR_Data[[#This Row],[Age]]&lt;=40,"30-40",IF(HR_Data[[#This Row],[Age]]&lt;=50,"41-50","50+")))</f>
        <v>Under 30</v>
      </c>
      <c r="AK359" t="str">
        <f>IF(HR_Data[[#This Row],[MonthlyIncome]]&lt;4000,"Low",IF(HR_Data[[#This Row],[MonthlyIncome]]&lt;=7000,"Medium","High"))</f>
        <v>Low</v>
      </c>
      <c r="AL35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60" spans="1:38" hidden="1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tr">
        <f>IF(HR_Data[[#This Row],[Age]]&lt;30,"Under 30",IF(HR_Data[[#This Row],[Age]]&lt;=40,"30-40",IF(HR_Data[[#This Row],[Age]]&lt;=50,"41-50","50+")))</f>
        <v>30-40</v>
      </c>
      <c r="AK360" t="str">
        <f>IF(HR_Data[[#This Row],[MonthlyIncome]]&lt;4000,"Low",IF(HR_Data[[#This Row],[MonthlyIncome]]&lt;=7000,"Medium","High"))</f>
        <v>Medium</v>
      </c>
      <c r="AL360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361" spans="1:38" hidden="1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tr">
        <f>IF(HR_Data[[#This Row],[Age]]&lt;30,"Under 30",IF(HR_Data[[#This Row],[Age]]&lt;=40,"30-40",IF(HR_Data[[#This Row],[Age]]&lt;=50,"41-50","50+")))</f>
        <v>30-40</v>
      </c>
      <c r="AK361" t="str">
        <f>IF(HR_Data[[#This Row],[MonthlyIncome]]&lt;4000,"Low",IF(HR_Data[[#This Row],[MonthlyIncome]]&lt;=7000,"Medium","High"))</f>
        <v>High</v>
      </c>
      <c r="AL361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362" spans="1:38" hidden="1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tr">
        <f>IF(HR_Data[[#This Row],[Age]]&lt;30,"Under 30",IF(HR_Data[[#This Row],[Age]]&lt;=40,"30-40",IF(HR_Data[[#This Row],[Age]]&lt;=50,"41-50","50+")))</f>
        <v>50+</v>
      </c>
      <c r="AK362" t="str">
        <f>IF(HR_Data[[#This Row],[MonthlyIncome]]&lt;4000,"Low",IF(HR_Data[[#This Row],[MonthlyIncome]]&lt;=7000,"Medium","High"))</f>
        <v>Medium</v>
      </c>
      <c r="AL36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63" spans="1:38" hidden="1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tr">
        <f>IF(HR_Data[[#This Row],[Age]]&lt;30,"Under 30",IF(HR_Data[[#This Row],[Age]]&lt;=40,"30-40",IF(HR_Data[[#This Row],[Age]]&lt;=50,"41-50","50+")))</f>
        <v>30-40</v>
      </c>
      <c r="AK363" t="str">
        <f>IF(HR_Data[[#This Row],[MonthlyIncome]]&lt;4000,"Low",IF(HR_Data[[#This Row],[MonthlyIncome]]&lt;=7000,"Medium","High"))</f>
        <v>Low</v>
      </c>
      <c r="AL36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364" spans="1:38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tr">
        <f>IF(HR_Data[[#This Row],[Age]]&lt;30,"Under 30",IF(HR_Data[[#This Row],[Age]]&lt;=40,"30-40",IF(HR_Data[[#This Row],[Age]]&lt;=50,"41-50","50+")))</f>
        <v>Under 30</v>
      </c>
      <c r="AK364" t="str">
        <f>IF(HR_Data[[#This Row],[MonthlyIncome]]&lt;4000,"Low",IF(HR_Data[[#This Row],[MonthlyIncome]]&lt;=7000,"Medium","High"))</f>
        <v>Low</v>
      </c>
      <c r="AL36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65" spans="1:38" hidden="1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tr">
        <f>IF(HR_Data[[#This Row],[Age]]&lt;30,"Under 30",IF(HR_Data[[#This Row],[Age]]&lt;=40,"30-40",IF(HR_Data[[#This Row],[Age]]&lt;=50,"41-50","50+")))</f>
        <v>30-40</v>
      </c>
      <c r="AK365" t="str">
        <f>IF(HR_Data[[#This Row],[MonthlyIncome]]&lt;4000,"Low",IF(HR_Data[[#This Row],[MonthlyIncome]]&lt;=7000,"Medium","High"))</f>
        <v>Low</v>
      </c>
      <c r="AL365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366" spans="1:38" hidden="1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tr">
        <f>IF(HR_Data[[#This Row],[Age]]&lt;30,"Under 30",IF(HR_Data[[#This Row],[Age]]&lt;=40,"30-40",IF(HR_Data[[#This Row],[Age]]&lt;=50,"41-50","50+")))</f>
        <v>30-40</v>
      </c>
      <c r="AK366" t="str">
        <f>IF(HR_Data[[#This Row],[MonthlyIncome]]&lt;4000,"Low",IF(HR_Data[[#This Row],[MonthlyIncome]]&lt;=7000,"Medium","High"))</f>
        <v>Low</v>
      </c>
      <c r="AL36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67" spans="1:38" hidden="1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tr">
        <f>IF(HR_Data[[#This Row],[Age]]&lt;30,"Under 30",IF(HR_Data[[#This Row],[Age]]&lt;=40,"30-40",IF(HR_Data[[#This Row],[Age]]&lt;=50,"41-50","50+")))</f>
        <v>41-50</v>
      </c>
      <c r="AK367" t="str">
        <f>IF(HR_Data[[#This Row],[MonthlyIncome]]&lt;4000,"Low",IF(HR_Data[[#This Row],[MonthlyIncome]]&lt;=7000,"Medium","High"))</f>
        <v>Medium</v>
      </c>
      <c r="AL367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368" spans="1:38" hidden="1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tr">
        <f>IF(HR_Data[[#This Row],[Age]]&lt;30,"Under 30",IF(HR_Data[[#This Row],[Age]]&lt;=40,"30-40",IF(HR_Data[[#This Row],[Age]]&lt;=50,"41-50","50+")))</f>
        <v>41-50</v>
      </c>
      <c r="AK368" t="str">
        <f>IF(HR_Data[[#This Row],[MonthlyIncome]]&lt;4000,"Low",IF(HR_Data[[#This Row],[MonthlyIncome]]&lt;=7000,"Medium","High"))</f>
        <v>High</v>
      </c>
      <c r="AL36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369" spans="1:38" hidden="1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tr">
        <f>IF(HR_Data[[#This Row],[Age]]&lt;30,"Under 30",IF(HR_Data[[#This Row],[Age]]&lt;=40,"30-40",IF(HR_Data[[#This Row],[Age]]&lt;=50,"41-50","50+")))</f>
        <v>41-50</v>
      </c>
      <c r="AK369" t="str">
        <f>IF(HR_Data[[#This Row],[MonthlyIncome]]&lt;4000,"Low",IF(HR_Data[[#This Row],[MonthlyIncome]]&lt;=7000,"Medium","High"))</f>
        <v>High</v>
      </c>
      <c r="AL36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70" spans="1:38" hidden="1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tr">
        <f>IF(HR_Data[[#This Row],[Age]]&lt;30,"Under 30",IF(HR_Data[[#This Row],[Age]]&lt;=40,"30-40",IF(HR_Data[[#This Row],[Age]]&lt;=50,"41-50","50+")))</f>
        <v>30-40</v>
      </c>
      <c r="AK370" t="str">
        <f>IF(HR_Data[[#This Row],[MonthlyIncome]]&lt;4000,"Low",IF(HR_Data[[#This Row],[MonthlyIncome]]&lt;=7000,"Medium","High"))</f>
        <v>Medium</v>
      </c>
      <c r="AL37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371" spans="1:38" hidden="1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tr">
        <f>IF(HR_Data[[#This Row],[Age]]&lt;30,"Under 30",IF(HR_Data[[#This Row],[Age]]&lt;=40,"30-40",IF(HR_Data[[#This Row],[Age]]&lt;=50,"41-50","50+")))</f>
        <v>30-40</v>
      </c>
      <c r="AK371" t="str">
        <f>IF(HR_Data[[#This Row],[MonthlyIncome]]&lt;4000,"Low",IF(HR_Data[[#This Row],[MonthlyIncome]]&lt;=7000,"Medium","High"))</f>
        <v>Low</v>
      </c>
      <c r="AL37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72" spans="1:38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tr">
        <f>IF(HR_Data[[#This Row],[Age]]&lt;30,"Under 30",IF(HR_Data[[#This Row],[Age]]&lt;=40,"30-40",IF(HR_Data[[#This Row],[Age]]&lt;=50,"41-50","50+")))</f>
        <v>Under 30</v>
      </c>
      <c r="AK372" t="str">
        <f>IF(HR_Data[[#This Row],[MonthlyIncome]]&lt;4000,"Low",IF(HR_Data[[#This Row],[MonthlyIncome]]&lt;=7000,"Medium","High"))</f>
        <v>Low</v>
      </c>
      <c r="AL372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373" spans="1:38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tr">
        <f>IF(HR_Data[[#This Row],[Age]]&lt;30,"Under 30",IF(HR_Data[[#This Row],[Age]]&lt;=40,"30-40",IF(HR_Data[[#This Row],[Age]]&lt;=50,"41-50","50+")))</f>
        <v>Under 30</v>
      </c>
      <c r="AK373" t="str">
        <f>IF(HR_Data[[#This Row],[MonthlyIncome]]&lt;4000,"Low",IF(HR_Data[[#This Row],[MonthlyIncome]]&lt;=7000,"Medium","High"))</f>
        <v>Low</v>
      </c>
      <c r="AL37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74" spans="1:38" hidden="1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tr">
        <f>IF(HR_Data[[#This Row],[Age]]&lt;30,"Under 30",IF(HR_Data[[#This Row],[Age]]&lt;=40,"30-40",IF(HR_Data[[#This Row],[Age]]&lt;=50,"41-50","50+")))</f>
        <v>30-40</v>
      </c>
      <c r="AK374" t="str">
        <f>IF(HR_Data[[#This Row],[MonthlyIncome]]&lt;4000,"Low",IF(HR_Data[[#This Row],[MonthlyIncome]]&lt;=7000,"Medium","High"))</f>
        <v>Medium</v>
      </c>
      <c r="AL374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375" spans="1:38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tr">
        <f>IF(HR_Data[[#This Row],[Age]]&lt;30,"Under 30",IF(HR_Data[[#This Row],[Age]]&lt;=40,"30-40",IF(HR_Data[[#This Row],[Age]]&lt;=50,"41-50","50+")))</f>
        <v>Under 30</v>
      </c>
      <c r="AK375" t="str">
        <f>IF(HR_Data[[#This Row],[MonthlyIncome]]&lt;4000,"Low",IF(HR_Data[[#This Row],[MonthlyIncome]]&lt;=7000,"Medium","High"))</f>
        <v>Low</v>
      </c>
      <c r="AL37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76" spans="1:38" hidden="1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tr">
        <f>IF(HR_Data[[#This Row],[Age]]&lt;30,"Under 30",IF(HR_Data[[#This Row],[Age]]&lt;=40,"30-40",IF(HR_Data[[#This Row],[Age]]&lt;=50,"41-50","50+")))</f>
        <v>Under 30</v>
      </c>
      <c r="AK376" t="str">
        <f>IF(HR_Data[[#This Row],[MonthlyIncome]]&lt;4000,"Low",IF(HR_Data[[#This Row],[MonthlyIncome]]&lt;=7000,"Medium","High"))</f>
        <v>Medium</v>
      </c>
      <c r="AL37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377" spans="1:38" hidden="1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tr">
        <f>IF(HR_Data[[#This Row],[Age]]&lt;30,"Under 30",IF(HR_Data[[#This Row],[Age]]&lt;=40,"30-40",IF(HR_Data[[#This Row],[Age]]&lt;=50,"41-50","50+")))</f>
        <v>41-50</v>
      </c>
      <c r="AK377" t="str">
        <f>IF(HR_Data[[#This Row],[MonthlyIncome]]&lt;4000,"Low",IF(HR_Data[[#This Row],[MonthlyIncome]]&lt;=7000,"Medium","High"))</f>
        <v>High</v>
      </c>
      <c r="AL37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78" spans="1:38" hidden="1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tr">
        <f>IF(HR_Data[[#This Row],[Age]]&lt;30,"Under 30",IF(HR_Data[[#This Row],[Age]]&lt;=40,"30-40",IF(HR_Data[[#This Row],[Age]]&lt;=50,"41-50","50+")))</f>
        <v>50+</v>
      </c>
      <c r="AK378" t="str">
        <f>IF(HR_Data[[#This Row],[MonthlyIncome]]&lt;4000,"Low",IF(HR_Data[[#This Row],[MonthlyIncome]]&lt;=7000,"Medium","High"))</f>
        <v>Medium</v>
      </c>
      <c r="AL37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379" spans="1:38" hidden="1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tr">
        <f>IF(HR_Data[[#This Row],[Age]]&lt;30,"Under 30",IF(HR_Data[[#This Row],[Age]]&lt;=40,"30-40",IF(HR_Data[[#This Row],[Age]]&lt;=50,"41-50","50+")))</f>
        <v>30-40</v>
      </c>
      <c r="AK379" t="str">
        <f>IF(HR_Data[[#This Row],[MonthlyIncome]]&lt;4000,"Low",IF(HR_Data[[#This Row],[MonthlyIncome]]&lt;=7000,"Medium","High"))</f>
        <v>Low</v>
      </c>
      <c r="AL37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80" spans="1:38" hidden="1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tr">
        <f>IF(HR_Data[[#This Row],[Age]]&lt;30,"Under 30",IF(HR_Data[[#This Row],[Age]]&lt;=40,"30-40",IF(HR_Data[[#This Row],[Age]]&lt;=50,"41-50","50+")))</f>
        <v>30-40</v>
      </c>
      <c r="AK380" t="str">
        <f>IF(HR_Data[[#This Row],[MonthlyIncome]]&lt;4000,"Low",IF(HR_Data[[#This Row],[MonthlyIncome]]&lt;=7000,"Medium","High"))</f>
        <v>Medium</v>
      </c>
      <c r="AL38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81" spans="1:38" hidden="1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tr">
        <f>IF(HR_Data[[#This Row],[Age]]&lt;30,"Under 30",IF(HR_Data[[#This Row],[Age]]&lt;=40,"30-40",IF(HR_Data[[#This Row],[Age]]&lt;=50,"41-50","50+")))</f>
        <v>50+</v>
      </c>
      <c r="AK381" t="str">
        <f>IF(HR_Data[[#This Row],[MonthlyIncome]]&lt;4000,"Low",IF(HR_Data[[#This Row],[MonthlyIncome]]&lt;=7000,"Medium","High"))</f>
        <v>High</v>
      </c>
      <c r="AL38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82" spans="1:38" hidden="1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tr">
        <f>IF(HR_Data[[#This Row],[Age]]&lt;30,"Under 30",IF(HR_Data[[#This Row],[Age]]&lt;=40,"30-40",IF(HR_Data[[#This Row],[Age]]&lt;=50,"41-50","50+")))</f>
        <v>Under 30</v>
      </c>
      <c r="AK382" t="str">
        <f>IF(HR_Data[[#This Row],[MonthlyIncome]]&lt;4000,"Low",IF(HR_Data[[#This Row],[MonthlyIncome]]&lt;=7000,"Medium","High"))</f>
        <v>Medium</v>
      </c>
      <c r="AL38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83" spans="1:38" hidden="1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tr">
        <f>IF(HR_Data[[#This Row],[Age]]&lt;30,"Under 30",IF(HR_Data[[#This Row],[Age]]&lt;=40,"30-40",IF(HR_Data[[#This Row],[Age]]&lt;=50,"41-50","50+")))</f>
        <v>30-40</v>
      </c>
      <c r="AK383" t="str">
        <f>IF(HR_Data[[#This Row],[MonthlyIncome]]&lt;4000,"Low",IF(HR_Data[[#This Row],[MonthlyIncome]]&lt;=7000,"Medium","High"))</f>
        <v>Low</v>
      </c>
      <c r="AL383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384" spans="1:38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tr">
        <f>IF(HR_Data[[#This Row],[Age]]&lt;30,"Under 30",IF(HR_Data[[#This Row],[Age]]&lt;=40,"30-40",IF(HR_Data[[#This Row],[Age]]&lt;=50,"41-50","50+")))</f>
        <v>Under 30</v>
      </c>
      <c r="AK384" t="str">
        <f>IF(HR_Data[[#This Row],[MonthlyIncome]]&lt;4000,"Low",IF(HR_Data[[#This Row],[MonthlyIncome]]&lt;=7000,"Medium","High"))</f>
        <v>Low</v>
      </c>
      <c r="AL38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385" spans="1:38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tr">
        <f>IF(HR_Data[[#This Row],[Age]]&lt;30,"Under 30",IF(HR_Data[[#This Row],[Age]]&lt;=40,"30-40",IF(HR_Data[[#This Row],[Age]]&lt;=50,"41-50","50+")))</f>
        <v>Under 30</v>
      </c>
      <c r="AK385" t="str">
        <f>IF(HR_Data[[#This Row],[MonthlyIncome]]&lt;4000,"Low",IF(HR_Data[[#This Row],[MonthlyIncome]]&lt;=7000,"Medium","High"))</f>
        <v>Low</v>
      </c>
      <c r="AL38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86" spans="1:38" hidden="1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tr">
        <f>IF(HR_Data[[#This Row],[Age]]&lt;30,"Under 30",IF(HR_Data[[#This Row],[Age]]&lt;=40,"30-40",IF(HR_Data[[#This Row],[Age]]&lt;=50,"41-50","50+")))</f>
        <v>30-40</v>
      </c>
      <c r="AK386" t="str">
        <f>IF(HR_Data[[#This Row],[MonthlyIncome]]&lt;4000,"Low",IF(HR_Data[[#This Row],[MonthlyIncome]]&lt;=7000,"Medium","High"))</f>
        <v>High</v>
      </c>
      <c r="AL38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387" spans="1:38" hidden="1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tr">
        <f>IF(HR_Data[[#This Row],[Age]]&lt;30,"Under 30",IF(HR_Data[[#This Row],[Age]]&lt;=40,"30-40",IF(HR_Data[[#This Row],[Age]]&lt;=50,"41-50","50+")))</f>
        <v>30-40</v>
      </c>
      <c r="AK387" t="str">
        <f>IF(HR_Data[[#This Row],[MonthlyIncome]]&lt;4000,"Low",IF(HR_Data[[#This Row],[MonthlyIncome]]&lt;=7000,"Medium","High"))</f>
        <v>Low</v>
      </c>
      <c r="AL387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388" spans="1:38" hidden="1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tr">
        <f>IF(HR_Data[[#This Row],[Age]]&lt;30,"Under 30",IF(HR_Data[[#This Row],[Age]]&lt;=40,"30-40",IF(HR_Data[[#This Row],[Age]]&lt;=50,"41-50","50+")))</f>
        <v>30-40</v>
      </c>
      <c r="AK388" t="str">
        <f>IF(HR_Data[[#This Row],[MonthlyIncome]]&lt;4000,"Low",IF(HR_Data[[#This Row],[MonthlyIncome]]&lt;=7000,"Medium","High"))</f>
        <v>Low</v>
      </c>
      <c r="AL388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389" spans="1:38" hidden="1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tr">
        <f>IF(HR_Data[[#This Row],[Age]]&lt;30,"Under 30",IF(HR_Data[[#This Row],[Age]]&lt;=40,"30-40",IF(HR_Data[[#This Row],[Age]]&lt;=50,"41-50","50+")))</f>
        <v>30-40</v>
      </c>
      <c r="AK389" t="str">
        <f>IF(HR_Data[[#This Row],[MonthlyIncome]]&lt;4000,"Low",IF(HR_Data[[#This Row],[MonthlyIncome]]&lt;=7000,"Medium","High"))</f>
        <v>Medium</v>
      </c>
      <c r="AL38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90" spans="1:38" hidden="1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tr">
        <f>IF(HR_Data[[#This Row],[Age]]&lt;30,"Under 30",IF(HR_Data[[#This Row],[Age]]&lt;=40,"30-40",IF(HR_Data[[#This Row],[Age]]&lt;=50,"41-50","50+")))</f>
        <v>41-50</v>
      </c>
      <c r="AK390" t="str">
        <f>IF(HR_Data[[#This Row],[MonthlyIncome]]&lt;4000,"Low",IF(HR_Data[[#This Row],[MonthlyIncome]]&lt;=7000,"Medium","High"))</f>
        <v>Low</v>
      </c>
      <c r="AL39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91" spans="1:38" hidden="1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tr">
        <f>IF(HR_Data[[#This Row],[Age]]&lt;30,"Under 30",IF(HR_Data[[#This Row],[Age]]&lt;=40,"30-40",IF(HR_Data[[#This Row],[Age]]&lt;=50,"41-50","50+")))</f>
        <v>30-40</v>
      </c>
      <c r="AK391" t="str">
        <f>IF(HR_Data[[#This Row],[MonthlyIncome]]&lt;4000,"Low",IF(HR_Data[[#This Row],[MonthlyIncome]]&lt;=7000,"Medium","High"))</f>
        <v>Medium</v>
      </c>
      <c r="AL391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392" spans="1:38" hidden="1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tr">
        <f>IF(HR_Data[[#This Row],[Age]]&lt;30,"Under 30",IF(HR_Data[[#This Row],[Age]]&lt;=40,"30-40",IF(HR_Data[[#This Row],[Age]]&lt;=50,"41-50","50+")))</f>
        <v>41-50</v>
      </c>
      <c r="AK392" t="str">
        <f>IF(HR_Data[[#This Row],[MonthlyIncome]]&lt;4000,"Low",IF(HR_Data[[#This Row],[MonthlyIncome]]&lt;=7000,"Medium","High"))</f>
        <v>High</v>
      </c>
      <c r="AL392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393" spans="1:38" hidden="1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tr">
        <f>IF(HR_Data[[#This Row],[Age]]&lt;30,"Under 30",IF(HR_Data[[#This Row],[Age]]&lt;=40,"30-40",IF(HR_Data[[#This Row],[Age]]&lt;=50,"41-50","50+")))</f>
        <v>30-40</v>
      </c>
      <c r="AK393" t="str">
        <f>IF(HR_Data[[#This Row],[MonthlyIncome]]&lt;4000,"Low",IF(HR_Data[[#This Row],[MonthlyIncome]]&lt;=7000,"Medium","High"))</f>
        <v>Low</v>
      </c>
      <c r="AL393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394" spans="1:38" hidden="1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tr">
        <f>IF(HR_Data[[#This Row],[Age]]&lt;30,"Under 30",IF(HR_Data[[#This Row],[Age]]&lt;=40,"30-40",IF(HR_Data[[#This Row],[Age]]&lt;=50,"41-50","50+")))</f>
        <v>50+</v>
      </c>
      <c r="AK394" t="str">
        <f>IF(HR_Data[[#This Row],[MonthlyIncome]]&lt;4000,"Low",IF(HR_Data[[#This Row],[MonthlyIncome]]&lt;=7000,"Medium","High"))</f>
        <v>High</v>
      </c>
      <c r="AL39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95" spans="1:38" hidden="1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tr">
        <f>IF(HR_Data[[#This Row],[Age]]&lt;30,"Under 30",IF(HR_Data[[#This Row],[Age]]&lt;=40,"30-40",IF(HR_Data[[#This Row],[Age]]&lt;=50,"41-50","50+")))</f>
        <v>30-40</v>
      </c>
      <c r="AK395" t="str">
        <f>IF(HR_Data[[#This Row],[MonthlyIncome]]&lt;4000,"Low",IF(HR_Data[[#This Row],[MonthlyIncome]]&lt;=7000,"Medium","High"))</f>
        <v>Medium</v>
      </c>
      <c r="AL39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96" spans="1:38" hidden="1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tr">
        <f>IF(HR_Data[[#This Row],[Age]]&lt;30,"Under 30",IF(HR_Data[[#This Row],[Age]]&lt;=40,"30-40",IF(HR_Data[[#This Row],[Age]]&lt;=50,"41-50","50+")))</f>
        <v>30-40</v>
      </c>
      <c r="AK396" t="str">
        <f>IF(HR_Data[[#This Row],[MonthlyIncome]]&lt;4000,"Low",IF(HR_Data[[#This Row],[MonthlyIncome]]&lt;=7000,"Medium","High"))</f>
        <v>Medium</v>
      </c>
      <c r="AL396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397" spans="1:38" hidden="1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tr">
        <f>IF(HR_Data[[#This Row],[Age]]&lt;30,"Under 30",IF(HR_Data[[#This Row],[Age]]&lt;=40,"30-40",IF(HR_Data[[#This Row],[Age]]&lt;=50,"41-50","50+")))</f>
        <v>41-50</v>
      </c>
      <c r="AK397" t="str">
        <f>IF(HR_Data[[#This Row],[MonthlyIncome]]&lt;4000,"Low",IF(HR_Data[[#This Row],[MonthlyIncome]]&lt;=7000,"Medium","High"))</f>
        <v>Low</v>
      </c>
      <c r="AL39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98" spans="1:38" hidden="1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tr">
        <f>IF(HR_Data[[#This Row],[Age]]&lt;30,"Under 30",IF(HR_Data[[#This Row],[Age]]&lt;=40,"30-40",IF(HR_Data[[#This Row],[Age]]&lt;=50,"41-50","50+")))</f>
        <v>41-50</v>
      </c>
      <c r="AK398" t="str">
        <f>IF(HR_Data[[#This Row],[MonthlyIncome]]&lt;4000,"Low",IF(HR_Data[[#This Row],[MonthlyIncome]]&lt;=7000,"Medium","High"))</f>
        <v>Medium</v>
      </c>
      <c r="AL39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399" spans="1:38" hidden="1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tr">
        <f>IF(HR_Data[[#This Row],[Age]]&lt;30,"Under 30",IF(HR_Data[[#This Row],[Age]]&lt;=40,"30-40",IF(HR_Data[[#This Row],[Age]]&lt;=50,"41-50","50+")))</f>
        <v>Under 30</v>
      </c>
      <c r="AK399" t="str">
        <f>IF(HR_Data[[#This Row],[MonthlyIncome]]&lt;4000,"Low",IF(HR_Data[[#This Row],[MonthlyIncome]]&lt;=7000,"Medium","High"))</f>
        <v>Medium</v>
      </c>
      <c r="AL39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00" spans="1:38" hidden="1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tr">
        <f>IF(HR_Data[[#This Row],[Age]]&lt;30,"Under 30",IF(HR_Data[[#This Row],[Age]]&lt;=40,"30-40",IF(HR_Data[[#This Row],[Age]]&lt;=50,"41-50","50+")))</f>
        <v>30-40</v>
      </c>
      <c r="AK400" t="str">
        <f>IF(HR_Data[[#This Row],[MonthlyIncome]]&lt;4000,"Low",IF(HR_Data[[#This Row],[MonthlyIncome]]&lt;=7000,"Medium","High"))</f>
        <v>Medium</v>
      </c>
      <c r="AL400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401" spans="1:38" hidden="1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tr">
        <f>IF(HR_Data[[#This Row],[Age]]&lt;30,"Under 30",IF(HR_Data[[#This Row],[Age]]&lt;=40,"30-40",IF(HR_Data[[#This Row],[Age]]&lt;=50,"41-50","50+")))</f>
        <v>30-40</v>
      </c>
      <c r="AK401" t="str">
        <f>IF(HR_Data[[#This Row],[MonthlyIncome]]&lt;4000,"Low",IF(HR_Data[[#This Row],[MonthlyIncome]]&lt;=7000,"Medium","High"))</f>
        <v>Low</v>
      </c>
      <c r="AL40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02" spans="1:38" hidden="1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tr">
        <f>IF(HR_Data[[#This Row],[Age]]&lt;30,"Under 30",IF(HR_Data[[#This Row],[Age]]&lt;=40,"30-40",IF(HR_Data[[#This Row],[Age]]&lt;=50,"41-50","50+")))</f>
        <v>30-40</v>
      </c>
      <c r="AK402" t="str">
        <f>IF(HR_Data[[#This Row],[MonthlyIncome]]&lt;4000,"Low",IF(HR_Data[[#This Row],[MonthlyIncome]]&lt;=7000,"Medium","High"))</f>
        <v>High</v>
      </c>
      <c r="AL402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403" spans="1:38" hidden="1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tr">
        <f>IF(HR_Data[[#This Row],[Age]]&lt;30,"Under 30",IF(HR_Data[[#This Row],[Age]]&lt;=40,"30-40",IF(HR_Data[[#This Row],[Age]]&lt;=50,"41-50","50+")))</f>
        <v>50+</v>
      </c>
      <c r="AK403" t="str">
        <f>IF(HR_Data[[#This Row],[MonthlyIncome]]&lt;4000,"Low",IF(HR_Data[[#This Row],[MonthlyIncome]]&lt;=7000,"Medium","High"))</f>
        <v>High</v>
      </c>
      <c r="AL40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04" spans="1:38" hidden="1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tr">
        <f>IF(HR_Data[[#This Row],[Age]]&lt;30,"Under 30",IF(HR_Data[[#This Row],[Age]]&lt;=40,"30-40",IF(HR_Data[[#This Row],[Age]]&lt;=50,"41-50","50+")))</f>
        <v>30-40</v>
      </c>
      <c r="AK404" t="str">
        <f>IF(HR_Data[[#This Row],[MonthlyIncome]]&lt;4000,"Low",IF(HR_Data[[#This Row],[MonthlyIncome]]&lt;=7000,"Medium","High"))</f>
        <v>Medium</v>
      </c>
      <c r="AL40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05" spans="1:38" hidden="1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tr">
        <f>IF(HR_Data[[#This Row],[Age]]&lt;30,"Under 30",IF(HR_Data[[#This Row],[Age]]&lt;=40,"30-40",IF(HR_Data[[#This Row],[Age]]&lt;=50,"41-50","50+")))</f>
        <v>41-50</v>
      </c>
      <c r="AK405" t="str">
        <f>IF(HR_Data[[#This Row],[MonthlyIncome]]&lt;4000,"Low",IF(HR_Data[[#This Row],[MonthlyIncome]]&lt;=7000,"Medium","High"))</f>
        <v>High</v>
      </c>
      <c r="AL40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06" spans="1:38" hidden="1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tr">
        <f>IF(HR_Data[[#This Row],[Age]]&lt;30,"Under 30",IF(HR_Data[[#This Row],[Age]]&lt;=40,"30-40",IF(HR_Data[[#This Row],[Age]]&lt;=50,"41-50","50+")))</f>
        <v>Under 30</v>
      </c>
      <c r="AK406" t="str">
        <f>IF(HR_Data[[#This Row],[MonthlyIncome]]&lt;4000,"Low",IF(HR_Data[[#This Row],[MonthlyIncome]]&lt;=7000,"Medium","High"))</f>
        <v>Medium</v>
      </c>
      <c r="AL40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07" spans="1:38" hidden="1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tr">
        <f>IF(HR_Data[[#This Row],[Age]]&lt;30,"Under 30",IF(HR_Data[[#This Row],[Age]]&lt;=40,"30-40",IF(HR_Data[[#This Row],[Age]]&lt;=50,"41-50","50+")))</f>
        <v>Under 30</v>
      </c>
      <c r="AK407" t="str">
        <f>IF(HR_Data[[#This Row],[MonthlyIncome]]&lt;4000,"Low",IF(HR_Data[[#This Row],[MonthlyIncome]]&lt;=7000,"Medium","High"))</f>
        <v>Medium</v>
      </c>
      <c r="AL40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08" spans="1:38" hidden="1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tr">
        <f>IF(HR_Data[[#This Row],[Age]]&lt;30,"Under 30",IF(HR_Data[[#This Row],[Age]]&lt;=40,"30-40",IF(HR_Data[[#This Row],[Age]]&lt;=50,"41-50","50+")))</f>
        <v>50+</v>
      </c>
      <c r="AK408" t="str">
        <f>IF(HR_Data[[#This Row],[MonthlyIncome]]&lt;4000,"Low",IF(HR_Data[[#This Row],[MonthlyIncome]]&lt;=7000,"Medium","High"))</f>
        <v>High</v>
      </c>
      <c r="AL40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09" spans="1:38" hidden="1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tr">
        <f>IF(HR_Data[[#This Row],[Age]]&lt;30,"Under 30",IF(HR_Data[[#This Row],[Age]]&lt;=40,"30-40",IF(HR_Data[[#This Row],[Age]]&lt;=50,"41-50","50+")))</f>
        <v>41-50</v>
      </c>
      <c r="AK409" t="str">
        <f>IF(HR_Data[[#This Row],[MonthlyIncome]]&lt;4000,"Low",IF(HR_Data[[#This Row],[MonthlyIncome]]&lt;=7000,"Medium","High"))</f>
        <v>Low</v>
      </c>
      <c r="AL40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10" spans="1:38" hidden="1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tr">
        <f>IF(HR_Data[[#This Row],[Age]]&lt;30,"Under 30",IF(HR_Data[[#This Row],[Age]]&lt;=40,"30-40",IF(HR_Data[[#This Row],[Age]]&lt;=50,"41-50","50+")))</f>
        <v>50+</v>
      </c>
      <c r="AK410" t="str">
        <f>IF(HR_Data[[#This Row],[MonthlyIncome]]&lt;4000,"Low",IF(HR_Data[[#This Row],[MonthlyIncome]]&lt;=7000,"Medium","High"))</f>
        <v>High</v>
      </c>
      <c r="AL41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11" spans="1:38" hidden="1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tr">
        <f>IF(HR_Data[[#This Row],[Age]]&lt;30,"Under 30",IF(HR_Data[[#This Row],[Age]]&lt;=40,"30-40",IF(HR_Data[[#This Row],[Age]]&lt;=50,"41-50","50+")))</f>
        <v>41-50</v>
      </c>
      <c r="AK411" t="str">
        <f>IF(HR_Data[[#This Row],[MonthlyIncome]]&lt;4000,"Low",IF(HR_Data[[#This Row],[MonthlyIncome]]&lt;=7000,"Medium","High"))</f>
        <v>Medium</v>
      </c>
      <c r="AL41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12" spans="1:38" hidden="1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tr">
        <f>IF(HR_Data[[#This Row],[Age]]&lt;30,"Under 30",IF(HR_Data[[#This Row],[Age]]&lt;=40,"30-40",IF(HR_Data[[#This Row],[Age]]&lt;=50,"41-50","50+")))</f>
        <v>30-40</v>
      </c>
      <c r="AK412" t="str">
        <f>IF(HR_Data[[#This Row],[MonthlyIncome]]&lt;4000,"Low",IF(HR_Data[[#This Row],[MonthlyIncome]]&lt;=7000,"Medium","High"))</f>
        <v>Medium</v>
      </c>
      <c r="AL41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13" spans="1:38" hidden="1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tr">
        <f>IF(HR_Data[[#This Row],[Age]]&lt;30,"Under 30",IF(HR_Data[[#This Row],[Age]]&lt;=40,"30-40",IF(HR_Data[[#This Row],[Age]]&lt;=50,"41-50","50+")))</f>
        <v>50+</v>
      </c>
      <c r="AK413" t="str">
        <f>IF(HR_Data[[#This Row],[MonthlyIncome]]&lt;4000,"Low",IF(HR_Data[[#This Row],[MonthlyIncome]]&lt;=7000,"Medium","High"))</f>
        <v>High</v>
      </c>
      <c r="AL413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414" spans="1:38" hidden="1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tr">
        <f>IF(HR_Data[[#This Row],[Age]]&lt;30,"Under 30",IF(HR_Data[[#This Row],[Age]]&lt;=40,"30-40",IF(HR_Data[[#This Row],[Age]]&lt;=50,"41-50","50+")))</f>
        <v>41-50</v>
      </c>
      <c r="AK414" t="str">
        <f>IF(HR_Data[[#This Row],[MonthlyIncome]]&lt;4000,"Low",IF(HR_Data[[#This Row],[MonthlyIncome]]&lt;=7000,"Medium","High"))</f>
        <v>Medium</v>
      </c>
      <c r="AL41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15" spans="1:38" hidden="1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tr">
        <f>IF(HR_Data[[#This Row],[Age]]&lt;30,"Under 30",IF(HR_Data[[#This Row],[Age]]&lt;=40,"30-40",IF(HR_Data[[#This Row],[Age]]&lt;=50,"41-50","50+")))</f>
        <v>41-50</v>
      </c>
      <c r="AK415" t="str">
        <f>IF(HR_Data[[#This Row],[MonthlyIncome]]&lt;4000,"Low",IF(HR_Data[[#This Row],[MonthlyIncome]]&lt;=7000,"Medium","High"))</f>
        <v>Medium</v>
      </c>
      <c r="AL41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16" spans="1:38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tr">
        <f>IF(HR_Data[[#This Row],[Age]]&lt;30,"Under 30",IF(HR_Data[[#This Row],[Age]]&lt;=40,"30-40",IF(HR_Data[[#This Row],[Age]]&lt;=50,"41-50","50+")))</f>
        <v>Under 30</v>
      </c>
      <c r="AK416" t="str">
        <f>IF(HR_Data[[#This Row],[MonthlyIncome]]&lt;4000,"Low",IF(HR_Data[[#This Row],[MonthlyIncome]]&lt;=7000,"Medium","High"))</f>
        <v>Low</v>
      </c>
      <c r="AL41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17" spans="1:38" hidden="1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tr">
        <f>IF(HR_Data[[#This Row],[Age]]&lt;30,"Under 30",IF(HR_Data[[#This Row],[Age]]&lt;=40,"30-40",IF(HR_Data[[#This Row],[Age]]&lt;=50,"41-50","50+")))</f>
        <v>30-40</v>
      </c>
      <c r="AK417" t="str">
        <f>IF(HR_Data[[#This Row],[MonthlyIncome]]&lt;4000,"Low",IF(HR_Data[[#This Row],[MonthlyIncome]]&lt;=7000,"Medium","High"))</f>
        <v>Low</v>
      </c>
      <c r="AL41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18" spans="1:38" hidden="1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tr">
        <f>IF(HR_Data[[#This Row],[Age]]&lt;30,"Under 30",IF(HR_Data[[#This Row],[Age]]&lt;=40,"30-40",IF(HR_Data[[#This Row],[Age]]&lt;=50,"41-50","50+")))</f>
        <v>30-40</v>
      </c>
      <c r="AK418" t="str">
        <f>IF(HR_Data[[#This Row],[MonthlyIncome]]&lt;4000,"Low",IF(HR_Data[[#This Row],[MonthlyIncome]]&lt;=7000,"Medium","High"))</f>
        <v>Low</v>
      </c>
      <c r="AL418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419" spans="1:38" hidden="1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tr">
        <f>IF(HR_Data[[#This Row],[Age]]&lt;30,"Under 30",IF(HR_Data[[#This Row],[Age]]&lt;=40,"30-40",IF(HR_Data[[#This Row],[Age]]&lt;=50,"41-50","50+")))</f>
        <v>30-40</v>
      </c>
      <c r="AK419" t="str">
        <f>IF(HR_Data[[#This Row],[MonthlyIncome]]&lt;4000,"Low",IF(HR_Data[[#This Row],[MonthlyIncome]]&lt;=7000,"Medium","High"))</f>
        <v>High</v>
      </c>
      <c r="AL419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420" spans="1:38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tr">
        <f>IF(HR_Data[[#This Row],[Age]]&lt;30,"Under 30",IF(HR_Data[[#This Row],[Age]]&lt;=40,"30-40",IF(HR_Data[[#This Row],[Age]]&lt;=50,"41-50","50+")))</f>
        <v>Under 30</v>
      </c>
      <c r="AK420" t="str">
        <f>IF(HR_Data[[#This Row],[MonthlyIncome]]&lt;4000,"Low",IF(HR_Data[[#This Row],[MonthlyIncome]]&lt;=7000,"Medium","High"))</f>
        <v>Low</v>
      </c>
      <c r="AL42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21" spans="1:38" hidden="1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tr">
        <f>IF(HR_Data[[#This Row],[Age]]&lt;30,"Under 30",IF(HR_Data[[#This Row],[Age]]&lt;=40,"30-40",IF(HR_Data[[#This Row],[Age]]&lt;=50,"41-50","50+")))</f>
        <v>30-40</v>
      </c>
      <c r="AK421" t="str">
        <f>IF(HR_Data[[#This Row],[MonthlyIncome]]&lt;4000,"Low",IF(HR_Data[[#This Row],[MonthlyIncome]]&lt;=7000,"Medium","High"))</f>
        <v>Low</v>
      </c>
      <c r="AL42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22" spans="1:38" hidden="1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tr">
        <f>IF(HR_Data[[#This Row],[Age]]&lt;30,"Under 30",IF(HR_Data[[#This Row],[Age]]&lt;=40,"30-40",IF(HR_Data[[#This Row],[Age]]&lt;=50,"41-50","50+")))</f>
        <v>Under 30</v>
      </c>
      <c r="AK422" t="str">
        <f>IF(HR_Data[[#This Row],[MonthlyIncome]]&lt;4000,"Low",IF(HR_Data[[#This Row],[MonthlyIncome]]&lt;=7000,"Medium","High"))</f>
        <v>High</v>
      </c>
      <c r="AL42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23" spans="1:38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tr">
        <f>IF(HR_Data[[#This Row],[Age]]&lt;30,"Under 30",IF(HR_Data[[#This Row],[Age]]&lt;=40,"30-40",IF(HR_Data[[#This Row],[Age]]&lt;=50,"41-50","50+")))</f>
        <v>Under 30</v>
      </c>
      <c r="AK423" t="str">
        <f>IF(HR_Data[[#This Row],[MonthlyIncome]]&lt;4000,"Low",IF(HR_Data[[#This Row],[MonthlyIncome]]&lt;=7000,"Medium","High"))</f>
        <v>Low</v>
      </c>
      <c r="AL42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24" spans="1:38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tr">
        <f>IF(HR_Data[[#This Row],[Age]]&lt;30,"Under 30",IF(HR_Data[[#This Row],[Age]]&lt;=40,"30-40",IF(HR_Data[[#This Row],[Age]]&lt;=50,"41-50","50+")))</f>
        <v>Under 30</v>
      </c>
      <c r="AK424" t="str">
        <f>IF(HR_Data[[#This Row],[MonthlyIncome]]&lt;4000,"Low",IF(HR_Data[[#This Row],[MonthlyIncome]]&lt;=7000,"Medium","High"))</f>
        <v>Low</v>
      </c>
      <c r="AL424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425" spans="1:38" hidden="1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tr">
        <f>IF(HR_Data[[#This Row],[Age]]&lt;30,"Under 30",IF(HR_Data[[#This Row],[Age]]&lt;=40,"30-40",IF(HR_Data[[#This Row],[Age]]&lt;=50,"41-50","50+")))</f>
        <v>30-40</v>
      </c>
      <c r="AK425" t="str">
        <f>IF(HR_Data[[#This Row],[MonthlyIncome]]&lt;4000,"Low",IF(HR_Data[[#This Row],[MonthlyIncome]]&lt;=7000,"Medium","High"))</f>
        <v>High</v>
      </c>
      <c r="AL42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26" spans="1:38" hidden="1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tr">
        <f>IF(HR_Data[[#This Row],[Age]]&lt;30,"Under 30",IF(HR_Data[[#This Row],[Age]]&lt;=40,"30-40",IF(HR_Data[[#This Row],[Age]]&lt;=50,"41-50","50+")))</f>
        <v>50+</v>
      </c>
      <c r="AK426" t="str">
        <f>IF(HR_Data[[#This Row],[MonthlyIncome]]&lt;4000,"Low",IF(HR_Data[[#This Row],[MonthlyIncome]]&lt;=7000,"Medium","High"))</f>
        <v>High</v>
      </c>
      <c r="AL426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427" spans="1:38" hidden="1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tr">
        <f>IF(HR_Data[[#This Row],[Age]]&lt;30,"Under 30",IF(HR_Data[[#This Row],[Age]]&lt;=40,"30-40",IF(HR_Data[[#This Row],[Age]]&lt;=50,"41-50","50+")))</f>
        <v>41-50</v>
      </c>
      <c r="AK427" t="str">
        <f>IF(HR_Data[[#This Row],[MonthlyIncome]]&lt;4000,"Low",IF(HR_Data[[#This Row],[MonthlyIncome]]&lt;=7000,"Medium","High"))</f>
        <v>High</v>
      </c>
      <c r="AL427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428" spans="1:38" hidden="1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tr">
        <f>IF(HR_Data[[#This Row],[Age]]&lt;30,"Under 30",IF(HR_Data[[#This Row],[Age]]&lt;=40,"30-40",IF(HR_Data[[#This Row],[Age]]&lt;=50,"41-50","50+")))</f>
        <v>30-40</v>
      </c>
      <c r="AK428" t="str">
        <f>IF(HR_Data[[#This Row],[MonthlyIncome]]&lt;4000,"Low",IF(HR_Data[[#This Row],[MonthlyIncome]]&lt;=7000,"Medium","High"))</f>
        <v>Low</v>
      </c>
      <c r="AL428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429" spans="1:38" hidden="1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tr">
        <f>IF(HR_Data[[#This Row],[Age]]&lt;30,"Under 30",IF(HR_Data[[#This Row],[Age]]&lt;=40,"30-40",IF(HR_Data[[#This Row],[Age]]&lt;=50,"41-50","50+")))</f>
        <v>50+</v>
      </c>
      <c r="AK429" t="str">
        <f>IF(HR_Data[[#This Row],[MonthlyIncome]]&lt;4000,"Low",IF(HR_Data[[#This Row],[MonthlyIncome]]&lt;=7000,"Medium","High"))</f>
        <v>High</v>
      </c>
      <c r="AL429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430" spans="1:38" hidden="1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tr">
        <f>IF(HR_Data[[#This Row],[Age]]&lt;30,"Under 30",IF(HR_Data[[#This Row],[Age]]&lt;=40,"30-40",IF(HR_Data[[#This Row],[Age]]&lt;=50,"41-50","50+")))</f>
        <v>41-50</v>
      </c>
      <c r="AK430" t="str">
        <f>IF(HR_Data[[#This Row],[MonthlyIncome]]&lt;4000,"Low",IF(HR_Data[[#This Row],[MonthlyIncome]]&lt;=7000,"Medium","High"))</f>
        <v>Medium</v>
      </c>
      <c r="AL43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31" spans="1:38" hidden="1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tr">
        <f>IF(HR_Data[[#This Row],[Age]]&lt;30,"Under 30",IF(HR_Data[[#This Row],[Age]]&lt;=40,"30-40",IF(HR_Data[[#This Row],[Age]]&lt;=50,"41-50","50+")))</f>
        <v>41-50</v>
      </c>
      <c r="AK431" t="str">
        <f>IF(HR_Data[[#This Row],[MonthlyIncome]]&lt;4000,"Low",IF(HR_Data[[#This Row],[MonthlyIncome]]&lt;=7000,"Medium","High"))</f>
        <v>High</v>
      </c>
      <c r="AL43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32" spans="1:38" hidden="1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tr">
        <f>IF(HR_Data[[#This Row],[Age]]&lt;30,"Under 30",IF(HR_Data[[#This Row],[Age]]&lt;=40,"30-40",IF(HR_Data[[#This Row],[Age]]&lt;=50,"41-50","50+")))</f>
        <v>30-40</v>
      </c>
      <c r="AK432" t="str">
        <f>IF(HR_Data[[#This Row],[MonthlyIncome]]&lt;4000,"Low",IF(HR_Data[[#This Row],[MonthlyIncome]]&lt;=7000,"Medium","High"))</f>
        <v>Medium</v>
      </c>
      <c r="AL43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33" spans="1:38" hidden="1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tr">
        <f>IF(HR_Data[[#This Row],[Age]]&lt;30,"Under 30",IF(HR_Data[[#This Row],[Age]]&lt;=40,"30-40",IF(HR_Data[[#This Row],[Age]]&lt;=50,"41-50","50+")))</f>
        <v>50+</v>
      </c>
      <c r="AK433" t="str">
        <f>IF(HR_Data[[#This Row],[MonthlyIncome]]&lt;4000,"Low",IF(HR_Data[[#This Row],[MonthlyIncome]]&lt;=7000,"Medium","High"))</f>
        <v>Low</v>
      </c>
      <c r="AL433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434" spans="1:38" hidden="1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tr">
        <f>IF(HR_Data[[#This Row],[Age]]&lt;30,"Under 30",IF(HR_Data[[#This Row],[Age]]&lt;=40,"30-40",IF(HR_Data[[#This Row],[Age]]&lt;=50,"41-50","50+")))</f>
        <v>30-40</v>
      </c>
      <c r="AK434" t="str">
        <f>IF(HR_Data[[#This Row],[MonthlyIncome]]&lt;4000,"Low",IF(HR_Data[[#This Row],[MonthlyIncome]]&lt;=7000,"Medium","High"))</f>
        <v>Low</v>
      </c>
      <c r="AL43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35" spans="1:38" hidden="1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tr">
        <f>IF(HR_Data[[#This Row],[Age]]&lt;30,"Under 30",IF(HR_Data[[#This Row],[Age]]&lt;=40,"30-40",IF(HR_Data[[#This Row],[Age]]&lt;=50,"41-50","50+")))</f>
        <v>41-50</v>
      </c>
      <c r="AK435" t="str">
        <f>IF(HR_Data[[#This Row],[MonthlyIncome]]&lt;4000,"Low",IF(HR_Data[[#This Row],[MonthlyIncome]]&lt;=7000,"Medium","High"))</f>
        <v>High</v>
      </c>
      <c r="AL43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36" spans="1:38" hidden="1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tr">
        <f>IF(HR_Data[[#This Row],[Age]]&lt;30,"Under 30",IF(HR_Data[[#This Row],[Age]]&lt;=40,"30-40",IF(HR_Data[[#This Row],[Age]]&lt;=50,"41-50","50+")))</f>
        <v>30-40</v>
      </c>
      <c r="AK436" t="str">
        <f>IF(HR_Data[[#This Row],[MonthlyIncome]]&lt;4000,"Low",IF(HR_Data[[#This Row],[MonthlyIncome]]&lt;=7000,"Medium","High"))</f>
        <v>High</v>
      </c>
      <c r="AL436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437" spans="1:38" hidden="1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tr">
        <f>IF(HR_Data[[#This Row],[Age]]&lt;30,"Under 30",IF(HR_Data[[#This Row],[Age]]&lt;=40,"30-40",IF(HR_Data[[#This Row],[Age]]&lt;=50,"41-50","50+")))</f>
        <v>30-40</v>
      </c>
      <c r="AK437" t="str">
        <f>IF(HR_Data[[#This Row],[MonthlyIncome]]&lt;4000,"Low",IF(HR_Data[[#This Row],[MonthlyIncome]]&lt;=7000,"Medium","High"))</f>
        <v>High</v>
      </c>
      <c r="AL43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38" spans="1:38" hidden="1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tr">
        <f>IF(HR_Data[[#This Row],[Age]]&lt;30,"Under 30",IF(HR_Data[[#This Row],[Age]]&lt;=40,"30-40",IF(HR_Data[[#This Row],[Age]]&lt;=50,"41-50","50+")))</f>
        <v>30-40</v>
      </c>
      <c r="AK438" t="str">
        <f>IF(HR_Data[[#This Row],[MonthlyIncome]]&lt;4000,"Low",IF(HR_Data[[#This Row],[MonthlyIncome]]&lt;=7000,"Medium","High"))</f>
        <v>Low</v>
      </c>
      <c r="AL43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39" spans="1:38" hidden="1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tr">
        <f>IF(HR_Data[[#This Row],[Age]]&lt;30,"Under 30",IF(HR_Data[[#This Row],[Age]]&lt;=40,"30-40",IF(HR_Data[[#This Row],[Age]]&lt;=50,"41-50","50+")))</f>
        <v>30-40</v>
      </c>
      <c r="AK439" t="str">
        <f>IF(HR_Data[[#This Row],[MonthlyIncome]]&lt;4000,"Low",IF(HR_Data[[#This Row],[MonthlyIncome]]&lt;=7000,"Medium","High"))</f>
        <v>Low</v>
      </c>
      <c r="AL43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40" spans="1:38" hidden="1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tr">
        <f>IF(HR_Data[[#This Row],[Age]]&lt;30,"Under 30",IF(HR_Data[[#This Row],[Age]]&lt;=40,"30-40",IF(HR_Data[[#This Row],[Age]]&lt;=50,"41-50","50+")))</f>
        <v>30-40</v>
      </c>
      <c r="AK440" t="str">
        <f>IF(HR_Data[[#This Row],[MonthlyIncome]]&lt;4000,"Low",IF(HR_Data[[#This Row],[MonthlyIncome]]&lt;=7000,"Medium","High"))</f>
        <v>High</v>
      </c>
      <c r="AL44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41" spans="1:38" hidden="1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tr">
        <f>IF(HR_Data[[#This Row],[Age]]&lt;30,"Under 30",IF(HR_Data[[#This Row],[Age]]&lt;=40,"30-40",IF(HR_Data[[#This Row],[Age]]&lt;=50,"41-50","50+")))</f>
        <v>30-40</v>
      </c>
      <c r="AK441" t="str">
        <f>IF(HR_Data[[#This Row],[MonthlyIncome]]&lt;4000,"Low",IF(HR_Data[[#This Row],[MonthlyIncome]]&lt;=7000,"Medium","High"))</f>
        <v>High</v>
      </c>
      <c r="AL441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442" spans="1:38" hidden="1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tr">
        <f>IF(HR_Data[[#This Row],[Age]]&lt;30,"Under 30",IF(HR_Data[[#This Row],[Age]]&lt;=40,"30-40",IF(HR_Data[[#This Row],[Age]]&lt;=50,"41-50","50+")))</f>
        <v>30-40</v>
      </c>
      <c r="AK442" t="str">
        <f>IF(HR_Data[[#This Row],[MonthlyIncome]]&lt;4000,"Low",IF(HR_Data[[#This Row],[MonthlyIncome]]&lt;=7000,"Medium","High"))</f>
        <v>High</v>
      </c>
      <c r="AL44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43" spans="1:38" hidden="1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tr">
        <f>IF(HR_Data[[#This Row],[Age]]&lt;30,"Under 30",IF(HR_Data[[#This Row],[Age]]&lt;=40,"30-40",IF(HR_Data[[#This Row],[Age]]&lt;=50,"41-50","50+")))</f>
        <v>41-50</v>
      </c>
      <c r="AK443" t="str">
        <f>IF(HR_Data[[#This Row],[MonthlyIncome]]&lt;4000,"Low",IF(HR_Data[[#This Row],[MonthlyIncome]]&lt;=7000,"Medium","High"))</f>
        <v>Low</v>
      </c>
      <c r="AL44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44" spans="1:38" hidden="1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tr">
        <f>IF(HR_Data[[#This Row],[Age]]&lt;30,"Under 30",IF(HR_Data[[#This Row],[Age]]&lt;=40,"30-40",IF(HR_Data[[#This Row],[Age]]&lt;=50,"41-50","50+")))</f>
        <v>30-40</v>
      </c>
      <c r="AK444" t="str">
        <f>IF(HR_Data[[#This Row],[MonthlyIncome]]&lt;4000,"Low",IF(HR_Data[[#This Row],[MonthlyIncome]]&lt;=7000,"Medium","High"))</f>
        <v>High</v>
      </c>
      <c r="AL44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45" spans="1:38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tr">
        <f>IF(HR_Data[[#This Row],[Age]]&lt;30,"Under 30",IF(HR_Data[[#This Row],[Age]]&lt;=40,"30-40",IF(HR_Data[[#This Row],[Age]]&lt;=50,"41-50","50+")))</f>
        <v>Under 30</v>
      </c>
      <c r="AK445" t="str">
        <f>IF(HR_Data[[#This Row],[MonthlyIncome]]&lt;4000,"Low",IF(HR_Data[[#This Row],[MonthlyIncome]]&lt;=7000,"Medium","High"))</f>
        <v>Low</v>
      </c>
      <c r="AL44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46" spans="1:38" hidden="1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tr">
        <f>IF(HR_Data[[#This Row],[Age]]&lt;30,"Under 30",IF(HR_Data[[#This Row],[Age]]&lt;=40,"30-40",IF(HR_Data[[#This Row],[Age]]&lt;=50,"41-50","50+")))</f>
        <v>41-50</v>
      </c>
      <c r="AK446" t="str">
        <f>IF(HR_Data[[#This Row],[MonthlyIncome]]&lt;4000,"Low",IF(HR_Data[[#This Row],[MonthlyIncome]]&lt;=7000,"Medium","High"))</f>
        <v>Medium</v>
      </c>
      <c r="AL44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47" spans="1:38" hidden="1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tr">
        <f>IF(HR_Data[[#This Row],[Age]]&lt;30,"Under 30",IF(HR_Data[[#This Row],[Age]]&lt;=40,"30-40",IF(HR_Data[[#This Row],[Age]]&lt;=50,"41-50","50+")))</f>
        <v>50+</v>
      </c>
      <c r="AK447" t="str">
        <f>IF(HR_Data[[#This Row],[MonthlyIncome]]&lt;4000,"Low",IF(HR_Data[[#This Row],[MonthlyIncome]]&lt;=7000,"Medium","High"))</f>
        <v>High</v>
      </c>
      <c r="AL44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48" spans="1:38" hidden="1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tr">
        <f>IF(HR_Data[[#This Row],[Age]]&lt;30,"Under 30",IF(HR_Data[[#This Row],[Age]]&lt;=40,"30-40",IF(HR_Data[[#This Row],[Age]]&lt;=50,"41-50","50+")))</f>
        <v>41-50</v>
      </c>
      <c r="AK448" t="str">
        <f>IF(HR_Data[[#This Row],[MonthlyIncome]]&lt;4000,"Low",IF(HR_Data[[#This Row],[MonthlyIncome]]&lt;=7000,"Medium","High"))</f>
        <v>Medium</v>
      </c>
      <c r="AL448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449" spans="1:38" hidden="1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tr">
        <f>IF(HR_Data[[#This Row],[Age]]&lt;30,"Under 30",IF(HR_Data[[#This Row],[Age]]&lt;=40,"30-40",IF(HR_Data[[#This Row],[Age]]&lt;=50,"41-50","50+")))</f>
        <v>30-40</v>
      </c>
      <c r="AK449" t="str">
        <f>IF(HR_Data[[#This Row],[MonthlyIncome]]&lt;4000,"Low",IF(HR_Data[[#This Row],[MonthlyIncome]]&lt;=7000,"Medium","High"))</f>
        <v>Medium</v>
      </c>
      <c r="AL449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450" spans="1:38" hidden="1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tr">
        <f>IF(HR_Data[[#This Row],[Age]]&lt;30,"Under 30",IF(HR_Data[[#This Row],[Age]]&lt;=40,"30-40",IF(HR_Data[[#This Row],[Age]]&lt;=50,"41-50","50+")))</f>
        <v>30-40</v>
      </c>
      <c r="AK450" t="str">
        <f>IF(HR_Data[[#This Row],[MonthlyIncome]]&lt;4000,"Low",IF(HR_Data[[#This Row],[MonthlyIncome]]&lt;=7000,"Medium","High"))</f>
        <v>High</v>
      </c>
      <c r="AL450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451" spans="1:38" hidden="1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tr">
        <f>IF(HR_Data[[#This Row],[Age]]&lt;30,"Under 30",IF(HR_Data[[#This Row],[Age]]&lt;=40,"30-40",IF(HR_Data[[#This Row],[Age]]&lt;=50,"41-50","50+")))</f>
        <v>30-40</v>
      </c>
      <c r="AK451" t="str">
        <f>IF(HR_Data[[#This Row],[MonthlyIncome]]&lt;4000,"Low",IF(HR_Data[[#This Row],[MonthlyIncome]]&lt;=7000,"Medium","High"))</f>
        <v>Low</v>
      </c>
      <c r="AL45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52" spans="1:38" hidden="1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tr">
        <f>IF(HR_Data[[#This Row],[Age]]&lt;30,"Under 30",IF(HR_Data[[#This Row],[Age]]&lt;=40,"30-40",IF(HR_Data[[#This Row],[Age]]&lt;=50,"41-50","50+")))</f>
        <v>30-40</v>
      </c>
      <c r="AK452" t="str">
        <f>IF(HR_Data[[#This Row],[MonthlyIncome]]&lt;4000,"Low",IF(HR_Data[[#This Row],[MonthlyIncome]]&lt;=7000,"Medium","High"))</f>
        <v>Medium</v>
      </c>
      <c r="AL45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53" spans="1:38" hidden="1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tr">
        <f>IF(HR_Data[[#This Row],[Age]]&lt;30,"Under 30",IF(HR_Data[[#This Row],[Age]]&lt;=40,"30-40",IF(HR_Data[[#This Row],[Age]]&lt;=50,"41-50","50+")))</f>
        <v>41-50</v>
      </c>
      <c r="AK453" t="str">
        <f>IF(HR_Data[[#This Row],[MonthlyIncome]]&lt;4000,"Low",IF(HR_Data[[#This Row],[MonthlyIncome]]&lt;=7000,"Medium","High"))</f>
        <v>High</v>
      </c>
      <c r="AL45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54" spans="1:38" hidden="1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tr">
        <f>IF(HR_Data[[#This Row],[Age]]&lt;30,"Under 30",IF(HR_Data[[#This Row],[Age]]&lt;=40,"30-40",IF(HR_Data[[#This Row],[Age]]&lt;=50,"41-50","50+")))</f>
        <v>41-50</v>
      </c>
      <c r="AK454" t="str">
        <f>IF(HR_Data[[#This Row],[MonthlyIncome]]&lt;4000,"Low",IF(HR_Data[[#This Row],[MonthlyIncome]]&lt;=7000,"Medium","High"))</f>
        <v>Medium</v>
      </c>
      <c r="AL45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55" spans="1:38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tr">
        <f>IF(HR_Data[[#This Row],[Age]]&lt;30,"Under 30",IF(HR_Data[[#This Row],[Age]]&lt;=40,"30-40",IF(HR_Data[[#This Row],[Age]]&lt;=50,"41-50","50+")))</f>
        <v>Under 30</v>
      </c>
      <c r="AK455" t="str">
        <f>IF(HR_Data[[#This Row],[MonthlyIncome]]&lt;4000,"Low",IF(HR_Data[[#This Row],[MonthlyIncome]]&lt;=7000,"Medium","High"))</f>
        <v>Low</v>
      </c>
      <c r="AL45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56" spans="1:38" hidden="1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tr">
        <f>IF(HR_Data[[#This Row],[Age]]&lt;30,"Under 30",IF(HR_Data[[#This Row],[Age]]&lt;=40,"30-40",IF(HR_Data[[#This Row],[Age]]&lt;=50,"41-50","50+")))</f>
        <v>Under 30</v>
      </c>
      <c r="AK456" t="str">
        <f>IF(HR_Data[[#This Row],[MonthlyIncome]]&lt;4000,"Low",IF(HR_Data[[#This Row],[MonthlyIncome]]&lt;=7000,"Medium","High"))</f>
        <v>Medium</v>
      </c>
      <c r="AL45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57" spans="1:38" hidden="1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tr">
        <f>IF(HR_Data[[#This Row],[Age]]&lt;30,"Under 30",IF(HR_Data[[#This Row],[Age]]&lt;=40,"30-40",IF(HR_Data[[#This Row],[Age]]&lt;=50,"41-50","50+")))</f>
        <v>30-40</v>
      </c>
      <c r="AK457" t="str">
        <f>IF(HR_Data[[#This Row],[MonthlyIncome]]&lt;4000,"Low",IF(HR_Data[[#This Row],[MonthlyIncome]]&lt;=7000,"Medium","High"))</f>
        <v>High</v>
      </c>
      <c r="AL45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58" spans="1:38" hidden="1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tr">
        <f>IF(HR_Data[[#This Row],[Age]]&lt;30,"Under 30",IF(HR_Data[[#This Row],[Age]]&lt;=40,"30-40",IF(HR_Data[[#This Row],[Age]]&lt;=50,"41-50","50+")))</f>
        <v>30-40</v>
      </c>
      <c r="AK458" t="str">
        <f>IF(HR_Data[[#This Row],[MonthlyIncome]]&lt;4000,"Low",IF(HR_Data[[#This Row],[MonthlyIncome]]&lt;=7000,"Medium","High"))</f>
        <v>High</v>
      </c>
      <c r="AL45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59" spans="1:38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t="str">
        <f>IF(HR_Data[[#This Row],[Age]]&lt;30,"Under 30",IF(HR_Data[[#This Row],[Age]]&lt;=40,"30-40",IF(HR_Data[[#This Row],[Age]]&lt;=50,"41-50","50+")))</f>
        <v>Under 30</v>
      </c>
      <c r="AK459" t="str">
        <f>IF(HR_Data[[#This Row],[MonthlyIncome]]&lt;4000,"Low",IF(HR_Data[[#This Row],[MonthlyIncome]]&lt;=7000,"Medium","High"))</f>
        <v>Low</v>
      </c>
      <c r="AL459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460" spans="1:38" hidden="1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tr">
        <f>IF(HR_Data[[#This Row],[Age]]&lt;30,"Under 30",IF(HR_Data[[#This Row],[Age]]&lt;=40,"30-40",IF(HR_Data[[#This Row],[Age]]&lt;=50,"41-50","50+")))</f>
        <v>30-40</v>
      </c>
      <c r="AK460" t="str">
        <f>IF(HR_Data[[#This Row],[MonthlyIncome]]&lt;4000,"Low",IF(HR_Data[[#This Row],[MonthlyIncome]]&lt;=7000,"Medium","High"))</f>
        <v>High</v>
      </c>
      <c r="AL460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461" spans="1:38" hidden="1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tr">
        <f>IF(HR_Data[[#This Row],[Age]]&lt;30,"Under 30",IF(HR_Data[[#This Row],[Age]]&lt;=40,"30-40",IF(HR_Data[[#This Row],[Age]]&lt;=50,"41-50","50+")))</f>
        <v>41-50</v>
      </c>
      <c r="AK461" t="str">
        <f>IF(HR_Data[[#This Row],[MonthlyIncome]]&lt;4000,"Low",IF(HR_Data[[#This Row],[MonthlyIncome]]&lt;=7000,"Medium","High"))</f>
        <v>Medium</v>
      </c>
      <c r="AL46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62" spans="1:38" hidden="1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tr">
        <f>IF(HR_Data[[#This Row],[Age]]&lt;30,"Under 30",IF(HR_Data[[#This Row],[Age]]&lt;=40,"30-40",IF(HR_Data[[#This Row],[Age]]&lt;=50,"41-50","50+")))</f>
        <v>Under 30</v>
      </c>
      <c r="AK462" t="str">
        <f>IF(HR_Data[[#This Row],[MonthlyIncome]]&lt;4000,"Low",IF(HR_Data[[#This Row],[MonthlyIncome]]&lt;=7000,"Medium","High"))</f>
        <v>Medium</v>
      </c>
      <c r="AL462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463" spans="1:38" hidden="1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tr">
        <f>IF(HR_Data[[#This Row],[Age]]&lt;30,"Under 30",IF(HR_Data[[#This Row],[Age]]&lt;=40,"30-40",IF(HR_Data[[#This Row],[Age]]&lt;=50,"41-50","50+")))</f>
        <v>30-40</v>
      </c>
      <c r="AK463" t="str">
        <f>IF(HR_Data[[#This Row],[MonthlyIncome]]&lt;4000,"Low",IF(HR_Data[[#This Row],[MonthlyIncome]]&lt;=7000,"Medium","High"))</f>
        <v>Medium</v>
      </c>
      <c r="AL46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64" spans="1:38" hidden="1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tr">
        <f>IF(HR_Data[[#This Row],[Age]]&lt;30,"Under 30",IF(HR_Data[[#This Row],[Age]]&lt;=40,"30-40",IF(HR_Data[[#This Row],[Age]]&lt;=50,"41-50","50+")))</f>
        <v>30-40</v>
      </c>
      <c r="AK464" t="str">
        <f>IF(HR_Data[[#This Row],[MonthlyIncome]]&lt;4000,"Low",IF(HR_Data[[#This Row],[MonthlyIncome]]&lt;=7000,"Medium","High"))</f>
        <v>Medium</v>
      </c>
      <c r="AL46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65" spans="1:38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tr">
        <f>IF(HR_Data[[#This Row],[Age]]&lt;30,"Under 30",IF(HR_Data[[#This Row],[Age]]&lt;=40,"30-40",IF(HR_Data[[#This Row],[Age]]&lt;=50,"41-50","50+")))</f>
        <v>Under 30</v>
      </c>
      <c r="AK465" t="str">
        <f>IF(HR_Data[[#This Row],[MonthlyIncome]]&lt;4000,"Low",IF(HR_Data[[#This Row],[MonthlyIncome]]&lt;=7000,"Medium","High"))</f>
        <v>Low</v>
      </c>
      <c r="AL465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466" spans="1:38" hidden="1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tr">
        <f>IF(HR_Data[[#This Row],[Age]]&lt;30,"Under 30",IF(HR_Data[[#This Row],[Age]]&lt;=40,"30-40",IF(HR_Data[[#This Row],[Age]]&lt;=50,"41-50","50+")))</f>
        <v>30-40</v>
      </c>
      <c r="AK466" t="str">
        <f>IF(HR_Data[[#This Row],[MonthlyIncome]]&lt;4000,"Low",IF(HR_Data[[#This Row],[MonthlyIncome]]&lt;=7000,"Medium","High"))</f>
        <v>High</v>
      </c>
      <c r="AL46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67" spans="1:38" hidden="1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tr">
        <f>IF(HR_Data[[#This Row],[Age]]&lt;30,"Under 30",IF(HR_Data[[#This Row],[Age]]&lt;=40,"30-40",IF(HR_Data[[#This Row],[Age]]&lt;=50,"41-50","50+")))</f>
        <v>41-50</v>
      </c>
      <c r="AK467" t="str">
        <f>IF(HR_Data[[#This Row],[MonthlyIncome]]&lt;4000,"Low",IF(HR_Data[[#This Row],[MonthlyIncome]]&lt;=7000,"Medium","High"))</f>
        <v>High</v>
      </c>
      <c r="AL46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68" spans="1:38" hidden="1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tr">
        <f>IF(HR_Data[[#This Row],[Age]]&lt;30,"Under 30",IF(HR_Data[[#This Row],[Age]]&lt;=40,"30-40",IF(HR_Data[[#This Row],[Age]]&lt;=50,"41-50","50+")))</f>
        <v>41-50</v>
      </c>
      <c r="AK468" t="str">
        <f>IF(HR_Data[[#This Row],[MonthlyIncome]]&lt;4000,"Low",IF(HR_Data[[#This Row],[MonthlyIncome]]&lt;=7000,"Medium","High"))</f>
        <v>High</v>
      </c>
      <c r="AL468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469" spans="1:38" hidden="1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tr">
        <f>IF(HR_Data[[#This Row],[Age]]&lt;30,"Under 30",IF(HR_Data[[#This Row],[Age]]&lt;=40,"30-40",IF(HR_Data[[#This Row],[Age]]&lt;=50,"41-50","50+")))</f>
        <v>30-40</v>
      </c>
      <c r="AK469" t="str">
        <f>IF(HR_Data[[#This Row],[MonthlyIncome]]&lt;4000,"Low",IF(HR_Data[[#This Row],[MonthlyIncome]]&lt;=7000,"Medium","High"))</f>
        <v>High</v>
      </c>
      <c r="AL469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70" spans="1:38" hidden="1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tr">
        <f>IF(HR_Data[[#This Row],[Age]]&lt;30,"Under 30",IF(HR_Data[[#This Row],[Age]]&lt;=40,"30-40",IF(HR_Data[[#This Row],[Age]]&lt;=50,"41-50","50+")))</f>
        <v>50+</v>
      </c>
      <c r="AK470" t="str">
        <f>IF(HR_Data[[#This Row],[MonthlyIncome]]&lt;4000,"Low",IF(HR_Data[[#This Row],[MonthlyIncome]]&lt;=7000,"Medium","High"))</f>
        <v>Medium</v>
      </c>
      <c r="AL47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71" spans="1:38" hidden="1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tr">
        <f>IF(HR_Data[[#This Row],[Age]]&lt;30,"Under 30",IF(HR_Data[[#This Row],[Age]]&lt;=40,"30-40",IF(HR_Data[[#This Row],[Age]]&lt;=50,"41-50","50+")))</f>
        <v>30-40</v>
      </c>
      <c r="AK471" t="str">
        <f>IF(HR_Data[[#This Row],[MonthlyIncome]]&lt;4000,"Low",IF(HR_Data[[#This Row],[MonthlyIncome]]&lt;=7000,"Medium","High"))</f>
        <v>Medium</v>
      </c>
      <c r="AL47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72" spans="1:38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tr">
        <f>IF(HR_Data[[#This Row],[Age]]&lt;30,"Under 30",IF(HR_Data[[#This Row],[Age]]&lt;=40,"30-40",IF(HR_Data[[#This Row],[Age]]&lt;=50,"41-50","50+")))</f>
        <v>Under 30</v>
      </c>
      <c r="AK472" t="str">
        <f>IF(HR_Data[[#This Row],[MonthlyIncome]]&lt;4000,"Low",IF(HR_Data[[#This Row],[MonthlyIncome]]&lt;=7000,"Medium","High"))</f>
        <v>Low</v>
      </c>
      <c r="AL47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73" spans="1:38" hidden="1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tr">
        <f>IF(HR_Data[[#This Row],[Age]]&lt;30,"Under 30",IF(HR_Data[[#This Row],[Age]]&lt;=40,"30-40",IF(HR_Data[[#This Row],[Age]]&lt;=50,"41-50","50+")))</f>
        <v>30-40</v>
      </c>
      <c r="AK473" t="str">
        <f>IF(HR_Data[[#This Row],[MonthlyIncome]]&lt;4000,"Low",IF(HR_Data[[#This Row],[MonthlyIncome]]&lt;=7000,"Medium","High"))</f>
        <v>High</v>
      </c>
      <c r="AL473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474" spans="1:38" hidden="1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tr">
        <f>IF(HR_Data[[#This Row],[Age]]&lt;30,"Under 30",IF(HR_Data[[#This Row],[Age]]&lt;=40,"30-40",IF(HR_Data[[#This Row],[Age]]&lt;=50,"41-50","50+")))</f>
        <v>30-40</v>
      </c>
      <c r="AK474" t="str">
        <f>IF(HR_Data[[#This Row],[MonthlyIncome]]&lt;4000,"Low",IF(HR_Data[[#This Row],[MonthlyIncome]]&lt;=7000,"Medium","High"))</f>
        <v>Medium</v>
      </c>
      <c r="AL47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75" spans="1:38" hidden="1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tr">
        <f>IF(HR_Data[[#This Row],[Age]]&lt;30,"Under 30",IF(HR_Data[[#This Row],[Age]]&lt;=40,"30-40",IF(HR_Data[[#This Row],[Age]]&lt;=50,"41-50","50+")))</f>
        <v>41-50</v>
      </c>
      <c r="AK475" t="str">
        <f>IF(HR_Data[[#This Row],[MonthlyIncome]]&lt;4000,"Low",IF(HR_Data[[#This Row],[MonthlyIncome]]&lt;=7000,"Medium","High"))</f>
        <v>High</v>
      </c>
      <c r="AL475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476" spans="1:38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tr">
        <f>IF(HR_Data[[#This Row],[Age]]&lt;30,"Under 30",IF(HR_Data[[#This Row],[Age]]&lt;=40,"30-40",IF(HR_Data[[#This Row],[Age]]&lt;=50,"41-50","50+")))</f>
        <v>Under 30</v>
      </c>
      <c r="AK476" t="str">
        <f>IF(HR_Data[[#This Row],[MonthlyIncome]]&lt;4000,"Low",IF(HR_Data[[#This Row],[MonthlyIncome]]&lt;=7000,"Medium","High"))</f>
        <v>Low</v>
      </c>
      <c r="AL47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77" spans="1:38" hidden="1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tr">
        <f>IF(HR_Data[[#This Row],[Age]]&lt;30,"Under 30",IF(HR_Data[[#This Row],[Age]]&lt;=40,"30-40",IF(HR_Data[[#This Row],[Age]]&lt;=50,"41-50","50+")))</f>
        <v>Under 30</v>
      </c>
      <c r="AK477" t="str">
        <f>IF(HR_Data[[#This Row],[MonthlyIncome]]&lt;4000,"Low",IF(HR_Data[[#This Row],[MonthlyIncome]]&lt;=7000,"Medium","High"))</f>
        <v>Medium</v>
      </c>
      <c r="AL47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78" spans="1:38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tr">
        <f>IF(HR_Data[[#This Row],[Age]]&lt;30,"Under 30",IF(HR_Data[[#This Row],[Age]]&lt;=40,"30-40",IF(HR_Data[[#This Row],[Age]]&lt;=50,"41-50","50+")))</f>
        <v>Under 30</v>
      </c>
      <c r="AK478" t="str">
        <f>IF(HR_Data[[#This Row],[MonthlyIncome]]&lt;4000,"Low",IF(HR_Data[[#This Row],[MonthlyIncome]]&lt;=7000,"Medium","High"))</f>
        <v>Low</v>
      </c>
      <c r="AL478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479" spans="1:38" hidden="1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tr">
        <f>IF(HR_Data[[#This Row],[Age]]&lt;30,"Under 30",IF(HR_Data[[#This Row],[Age]]&lt;=40,"30-40",IF(HR_Data[[#This Row],[Age]]&lt;=50,"41-50","50+")))</f>
        <v>41-50</v>
      </c>
      <c r="AK479" t="str">
        <f>IF(HR_Data[[#This Row],[MonthlyIncome]]&lt;4000,"Low",IF(HR_Data[[#This Row],[MonthlyIncome]]&lt;=7000,"Medium","High"))</f>
        <v>High</v>
      </c>
      <c r="AL479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480" spans="1:38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tr">
        <f>IF(HR_Data[[#This Row],[Age]]&lt;30,"Under 30",IF(HR_Data[[#This Row],[Age]]&lt;=40,"30-40",IF(HR_Data[[#This Row],[Age]]&lt;=50,"41-50","50+")))</f>
        <v>Under 30</v>
      </c>
      <c r="AK480" t="str">
        <f>IF(HR_Data[[#This Row],[MonthlyIncome]]&lt;4000,"Low",IF(HR_Data[[#This Row],[MonthlyIncome]]&lt;=7000,"Medium","High"))</f>
        <v>Low</v>
      </c>
      <c r="AL48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81" spans="1:38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tr">
        <f>IF(HR_Data[[#This Row],[Age]]&lt;30,"Under 30",IF(HR_Data[[#This Row],[Age]]&lt;=40,"30-40",IF(HR_Data[[#This Row],[Age]]&lt;=50,"41-50","50+")))</f>
        <v>Under 30</v>
      </c>
      <c r="AK481" t="str">
        <f>IF(HR_Data[[#This Row],[MonthlyIncome]]&lt;4000,"Low",IF(HR_Data[[#This Row],[MonthlyIncome]]&lt;=7000,"Medium","High"))</f>
        <v>Low</v>
      </c>
      <c r="AL48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82" spans="1:38" hidden="1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tr">
        <f>IF(HR_Data[[#This Row],[Age]]&lt;30,"Under 30",IF(HR_Data[[#This Row],[Age]]&lt;=40,"30-40",IF(HR_Data[[#This Row],[Age]]&lt;=50,"41-50","50+")))</f>
        <v>30-40</v>
      </c>
      <c r="AK482" t="str">
        <f>IF(HR_Data[[#This Row],[MonthlyIncome]]&lt;4000,"Low",IF(HR_Data[[#This Row],[MonthlyIncome]]&lt;=7000,"Medium","High"))</f>
        <v>Low</v>
      </c>
      <c r="AL482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483" spans="1:38" hidden="1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tr">
        <f>IF(HR_Data[[#This Row],[Age]]&lt;30,"Under 30",IF(HR_Data[[#This Row],[Age]]&lt;=40,"30-40",IF(HR_Data[[#This Row],[Age]]&lt;=50,"41-50","50+")))</f>
        <v>30-40</v>
      </c>
      <c r="AK483" t="str">
        <f>IF(HR_Data[[#This Row],[MonthlyIncome]]&lt;4000,"Low",IF(HR_Data[[#This Row],[MonthlyIncome]]&lt;=7000,"Medium","High"))</f>
        <v>Low</v>
      </c>
      <c r="AL48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84" spans="1:38" hidden="1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tr">
        <f>IF(HR_Data[[#This Row],[Age]]&lt;30,"Under 30",IF(HR_Data[[#This Row],[Age]]&lt;=40,"30-40",IF(HR_Data[[#This Row],[Age]]&lt;=50,"41-50","50+")))</f>
        <v>30-40</v>
      </c>
      <c r="AK484" t="str">
        <f>IF(HR_Data[[#This Row],[MonthlyIncome]]&lt;4000,"Low",IF(HR_Data[[#This Row],[MonthlyIncome]]&lt;=7000,"Medium","High"))</f>
        <v>Medium</v>
      </c>
      <c r="AL48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85" spans="1:38" hidden="1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tr">
        <f>IF(HR_Data[[#This Row],[Age]]&lt;30,"Under 30",IF(HR_Data[[#This Row],[Age]]&lt;=40,"30-40",IF(HR_Data[[#This Row],[Age]]&lt;=50,"41-50","50+")))</f>
        <v>30-40</v>
      </c>
      <c r="AK485" t="str">
        <f>IF(HR_Data[[#This Row],[MonthlyIncome]]&lt;4000,"Low",IF(HR_Data[[#This Row],[MonthlyIncome]]&lt;=7000,"Medium","High"))</f>
        <v>Low</v>
      </c>
      <c r="AL48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86" spans="1:38" hidden="1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tr">
        <f>IF(HR_Data[[#This Row],[Age]]&lt;30,"Under 30",IF(HR_Data[[#This Row],[Age]]&lt;=40,"30-40",IF(HR_Data[[#This Row],[Age]]&lt;=50,"41-50","50+")))</f>
        <v>30-40</v>
      </c>
      <c r="AK486" t="str">
        <f>IF(HR_Data[[#This Row],[MonthlyIncome]]&lt;4000,"Low",IF(HR_Data[[#This Row],[MonthlyIncome]]&lt;=7000,"Medium","High"))</f>
        <v>Medium</v>
      </c>
      <c r="AL48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87" spans="1:38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tr">
        <f>IF(HR_Data[[#This Row],[Age]]&lt;30,"Under 30",IF(HR_Data[[#This Row],[Age]]&lt;=40,"30-40",IF(HR_Data[[#This Row],[Age]]&lt;=50,"41-50","50+")))</f>
        <v>Under 30</v>
      </c>
      <c r="AK487" t="str">
        <f>IF(HR_Data[[#This Row],[MonthlyIncome]]&lt;4000,"Low",IF(HR_Data[[#This Row],[MonthlyIncome]]&lt;=7000,"Medium","High"))</f>
        <v>Low</v>
      </c>
      <c r="AL48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88" spans="1:38" hidden="1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tr">
        <f>IF(HR_Data[[#This Row],[Age]]&lt;30,"Under 30",IF(HR_Data[[#This Row],[Age]]&lt;=40,"30-40",IF(HR_Data[[#This Row],[Age]]&lt;=50,"41-50","50+")))</f>
        <v>30-40</v>
      </c>
      <c r="AK488" t="str">
        <f>IF(HR_Data[[#This Row],[MonthlyIncome]]&lt;4000,"Low",IF(HR_Data[[#This Row],[MonthlyIncome]]&lt;=7000,"Medium","High"))</f>
        <v>High</v>
      </c>
      <c r="AL48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89" spans="1:38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tr">
        <f>IF(HR_Data[[#This Row],[Age]]&lt;30,"Under 30",IF(HR_Data[[#This Row],[Age]]&lt;=40,"30-40",IF(HR_Data[[#This Row],[Age]]&lt;=50,"41-50","50+")))</f>
        <v>Under 30</v>
      </c>
      <c r="AK489" t="str">
        <f>IF(HR_Data[[#This Row],[MonthlyIncome]]&lt;4000,"Low",IF(HR_Data[[#This Row],[MonthlyIncome]]&lt;=7000,"Medium","High"))</f>
        <v>Low</v>
      </c>
      <c r="AL489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490" spans="1:38" hidden="1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tr">
        <f>IF(HR_Data[[#This Row],[Age]]&lt;30,"Under 30",IF(HR_Data[[#This Row],[Age]]&lt;=40,"30-40",IF(HR_Data[[#This Row],[Age]]&lt;=50,"41-50","50+")))</f>
        <v>41-50</v>
      </c>
      <c r="AK490" t="str">
        <f>IF(HR_Data[[#This Row],[MonthlyIncome]]&lt;4000,"Low",IF(HR_Data[[#This Row],[MonthlyIncome]]&lt;=7000,"Medium","High"))</f>
        <v>Medium</v>
      </c>
      <c r="AL49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91" spans="1:38" hidden="1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tr">
        <f>IF(HR_Data[[#This Row],[Age]]&lt;30,"Under 30",IF(HR_Data[[#This Row],[Age]]&lt;=40,"30-40",IF(HR_Data[[#This Row],[Age]]&lt;=50,"41-50","50+")))</f>
        <v>41-50</v>
      </c>
      <c r="AK491" t="str">
        <f>IF(HR_Data[[#This Row],[MonthlyIncome]]&lt;4000,"Low",IF(HR_Data[[#This Row],[MonthlyIncome]]&lt;=7000,"Medium","High"))</f>
        <v>High</v>
      </c>
      <c r="AL491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492" spans="1:38" hidden="1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tr">
        <f>IF(HR_Data[[#This Row],[Age]]&lt;30,"Under 30",IF(HR_Data[[#This Row],[Age]]&lt;=40,"30-40",IF(HR_Data[[#This Row],[Age]]&lt;=50,"41-50","50+")))</f>
        <v>30-40</v>
      </c>
      <c r="AK492" t="str">
        <f>IF(HR_Data[[#This Row],[MonthlyIncome]]&lt;4000,"Low",IF(HR_Data[[#This Row],[MonthlyIncome]]&lt;=7000,"Medium","High"))</f>
        <v>Low</v>
      </c>
      <c r="AL492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493" spans="1:38" hidden="1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tr">
        <f>IF(HR_Data[[#This Row],[Age]]&lt;30,"Under 30",IF(HR_Data[[#This Row],[Age]]&lt;=40,"30-40",IF(HR_Data[[#This Row],[Age]]&lt;=50,"41-50","50+")))</f>
        <v>41-50</v>
      </c>
      <c r="AK493" t="str">
        <f>IF(HR_Data[[#This Row],[MonthlyIncome]]&lt;4000,"Low",IF(HR_Data[[#This Row],[MonthlyIncome]]&lt;=7000,"Medium","High"))</f>
        <v>Medium</v>
      </c>
      <c r="AL49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94" spans="1:38" hidden="1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tr">
        <f>IF(HR_Data[[#This Row],[Age]]&lt;30,"Under 30",IF(HR_Data[[#This Row],[Age]]&lt;=40,"30-40",IF(HR_Data[[#This Row],[Age]]&lt;=50,"41-50","50+")))</f>
        <v>41-50</v>
      </c>
      <c r="AK494" t="str">
        <f>IF(HR_Data[[#This Row],[MonthlyIncome]]&lt;4000,"Low",IF(HR_Data[[#This Row],[MonthlyIncome]]&lt;=7000,"Medium","High"))</f>
        <v>High</v>
      </c>
      <c r="AL49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95" spans="1:38" hidden="1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tr">
        <f>IF(HR_Data[[#This Row],[Age]]&lt;30,"Under 30",IF(HR_Data[[#This Row],[Age]]&lt;=40,"30-40",IF(HR_Data[[#This Row],[Age]]&lt;=50,"41-50","50+")))</f>
        <v>41-50</v>
      </c>
      <c r="AK495" t="str">
        <f>IF(HR_Data[[#This Row],[MonthlyIncome]]&lt;4000,"Low",IF(HR_Data[[#This Row],[MonthlyIncome]]&lt;=7000,"Medium","High"))</f>
        <v>Medium</v>
      </c>
      <c r="AL49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96" spans="1:38" hidden="1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tr">
        <f>IF(HR_Data[[#This Row],[Age]]&lt;30,"Under 30",IF(HR_Data[[#This Row],[Age]]&lt;=40,"30-40",IF(HR_Data[[#This Row],[Age]]&lt;=50,"41-50","50+")))</f>
        <v>30-40</v>
      </c>
      <c r="AK496" t="str">
        <f>IF(HR_Data[[#This Row],[MonthlyIncome]]&lt;4000,"Low",IF(HR_Data[[#This Row],[MonthlyIncome]]&lt;=7000,"Medium","High"))</f>
        <v>Low</v>
      </c>
      <c r="AL49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497" spans="1:38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tr">
        <f>IF(HR_Data[[#This Row],[Age]]&lt;30,"Under 30",IF(HR_Data[[#This Row],[Age]]&lt;=40,"30-40",IF(HR_Data[[#This Row],[Age]]&lt;=50,"41-50","50+")))</f>
        <v>Under 30</v>
      </c>
      <c r="AK497" t="str">
        <f>IF(HR_Data[[#This Row],[MonthlyIncome]]&lt;4000,"Low",IF(HR_Data[[#This Row],[MonthlyIncome]]&lt;=7000,"Medium","High"))</f>
        <v>Low</v>
      </c>
      <c r="AL49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98" spans="1:38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tr">
        <f>IF(HR_Data[[#This Row],[Age]]&lt;30,"Under 30",IF(HR_Data[[#This Row],[Age]]&lt;=40,"30-40",IF(HR_Data[[#This Row],[Age]]&lt;=50,"41-50","50+")))</f>
        <v>Under 30</v>
      </c>
      <c r="AK498" t="str">
        <f>IF(HR_Data[[#This Row],[MonthlyIncome]]&lt;4000,"Low",IF(HR_Data[[#This Row],[MonthlyIncome]]&lt;=7000,"Medium","High"))</f>
        <v>Low</v>
      </c>
      <c r="AL49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499" spans="1:38" hidden="1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tr">
        <f>IF(HR_Data[[#This Row],[Age]]&lt;30,"Under 30",IF(HR_Data[[#This Row],[Age]]&lt;=40,"30-40",IF(HR_Data[[#This Row],[Age]]&lt;=50,"41-50","50+")))</f>
        <v>41-50</v>
      </c>
      <c r="AK499" t="str">
        <f>IF(HR_Data[[#This Row],[MonthlyIncome]]&lt;4000,"Low",IF(HR_Data[[#This Row],[MonthlyIncome]]&lt;=7000,"Medium","High"))</f>
        <v>High</v>
      </c>
      <c r="AL49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00" spans="1:38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tr">
        <f>IF(HR_Data[[#This Row],[Age]]&lt;30,"Under 30",IF(HR_Data[[#This Row],[Age]]&lt;=40,"30-40",IF(HR_Data[[#This Row],[Age]]&lt;=50,"41-50","50+")))</f>
        <v>Under 30</v>
      </c>
      <c r="AK500" t="str">
        <f>IF(HR_Data[[#This Row],[MonthlyIncome]]&lt;4000,"Low",IF(HR_Data[[#This Row],[MonthlyIncome]]&lt;=7000,"Medium","High"))</f>
        <v>Low</v>
      </c>
      <c r="AL50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01" spans="1:38" hidden="1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tr">
        <f>IF(HR_Data[[#This Row],[Age]]&lt;30,"Under 30",IF(HR_Data[[#This Row],[Age]]&lt;=40,"30-40",IF(HR_Data[[#This Row],[Age]]&lt;=50,"41-50","50+")))</f>
        <v>30-40</v>
      </c>
      <c r="AK501" t="str">
        <f>IF(HR_Data[[#This Row],[MonthlyIncome]]&lt;4000,"Low",IF(HR_Data[[#This Row],[MonthlyIncome]]&lt;=7000,"Medium","High"))</f>
        <v>High</v>
      </c>
      <c r="AL50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02" spans="1:38" hidden="1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tr">
        <f>IF(HR_Data[[#This Row],[Age]]&lt;30,"Under 30",IF(HR_Data[[#This Row],[Age]]&lt;=40,"30-40",IF(HR_Data[[#This Row],[Age]]&lt;=50,"41-50","50+")))</f>
        <v>30-40</v>
      </c>
      <c r="AK502" t="str">
        <f>IF(HR_Data[[#This Row],[MonthlyIncome]]&lt;4000,"Low",IF(HR_Data[[#This Row],[MonthlyIncome]]&lt;=7000,"Medium","High"))</f>
        <v>Medium</v>
      </c>
      <c r="AL50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03" spans="1:38" hidden="1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tr">
        <f>IF(HR_Data[[#This Row],[Age]]&lt;30,"Under 30",IF(HR_Data[[#This Row],[Age]]&lt;=40,"30-40",IF(HR_Data[[#This Row],[Age]]&lt;=50,"41-50","50+")))</f>
        <v>30-40</v>
      </c>
      <c r="AK503" t="str">
        <f>IF(HR_Data[[#This Row],[MonthlyIncome]]&lt;4000,"Low",IF(HR_Data[[#This Row],[MonthlyIncome]]&lt;=7000,"Medium","High"))</f>
        <v>Low</v>
      </c>
      <c r="AL503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504" spans="1:38" hidden="1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tr">
        <f>IF(HR_Data[[#This Row],[Age]]&lt;30,"Under 30",IF(HR_Data[[#This Row],[Age]]&lt;=40,"30-40",IF(HR_Data[[#This Row],[Age]]&lt;=50,"41-50","50+")))</f>
        <v>50+</v>
      </c>
      <c r="AK504" t="str">
        <f>IF(HR_Data[[#This Row],[MonthlyIncome]]&lt;4000,"Low",IF(HR_Data[[#This Row],[MonthlyIncome]]&lt;=7000,"Medium","High"))</f>
        <v>High</v>
      </c>
      <c r="AL504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505" spans="1:38" hidden="1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tr">
        <f>IF(HR_Data[[#This Row],[Age]]&lt;30,"Under 30",IF(HR_Data[[#This Row],[Age]]&lt;=40,"30-40",IF(HR_Data[[#This Row],[Age]]&lt;=50,"41-50","50+")))</f>
        <v>30-40</v>
      </c>
      <c r="AK505" t="str">
        <f>IF(HR_Data[[#This Row],[MonthlyIncome]]&lt;4000,"Low",IF(HR_Data[[#This Row],[MonthlyIncome]]&lt;=7000,"Medium","High"))</f>
        <v>Low</v>
      </c>
      <c r="AL50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06" spans="1:38" hidden="1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tr">
        <f>IF(HR_Data[[#This Row],[Age]]&lt;30,"Under 30",IF(HR_Data[[#This Row],[Age]]&lt;=40,"30-40",IF(HR_Data[[#This Row],[Age]]&lt;=50,"41-50","50+")))</f>
        <v>41-50</v>
      </c>
      <c r="AK506" t="str">
        <f>IF(HR_Data[[#This Row],[MonthlyIncome]]&lt;4000,"Low",IF(HR_Data[[#This Row],[MonthlyIncome]]&lt;=7000,"Medium","High"))</f>
        <v>Medium</v>
      </c>
      <c r="AL506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507" spans="1:38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tr">
        <f>IF(HR_Data[[#This Row],[Age]]&lt;30,"Under 30",IF(HR_Data[[#This Row],[Age]]&lt;=40,"30-40",IF(HR_Data[[#This Row],[Age]]&lt;=50,"41-50","50+")))</f>
        <v>Under 30</v>
      </c>
      <c r="AK507" t="str">
        <f>IF(HR_Data[[#This Row],[MonthlyIncome]]&lt;4000,"Low",IF(HR_Data[[#This Row],[MonthlyIncome]]&lt;=7000,"Medium","High"))</f>
        <v>Low</v>
      </c>
      <c r="AL50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08" spans="1:38" hidden="1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tr">
        <f>IF(HR_Data[[#This Row],[Age]]&lt;30,"Under 30",IF(HR_Data[[#This Row],[Age]]&lt;=40,"30-40",IF(HR_Data[[#This Row],[Age]]&lt;=50,"41-50","50+")))</f>
        <v>30-40</v>
      </c>
      <c r="AK508" t="str">
        <f>IF(HR_Data[[#This Row],[MonthlyIncome]]&lt;4000,"Low",IF(HR_Data[[#This Row],[MonthlyIncome]]&lt;=7000,"Medium","High"))</f>
        <v>High</v>
      </c>
      <c r="AL50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09" spans="1:38" hidden="1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tr">
        <f>IF(HR_Data[[#This Row],[Age]]&lt;30,"Under 30",IF(HR_Data[[#This Row],[Age]]&lt;=40,"30-40",IF(HR_Data[[#This Row],[Age]]&lt;=50,"41-50","50+")))</f>
        <v>Under 30</v>
      </c>
      <c r="AK509" t="str">
        <f>IF(HR_Data[[#This Row],[MonthlyIncome]]&lt;4000,"Low",IF(HR_Data[[#This Row],[MonthlyIncome]]&lt;=7000,"Medium","High"))</f>
        <v>Medium</v>
      </c>
      <c r="AL509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10" spans="1:38" hidden="1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tr">
        <f>IF(HR_Data[[#This Row],[Age]]&lt;30,"Under 30",IF(HR_Data[[#This Row],[Age]]&lt;=40,"30-40",IF(HR_Data[[#This Row],[Age]]&lt;=50,"41-50","50+")))</f>
        <v>30-40</v>
      </c>
      <c r="AK510" t="str">
        <f>IF(HR_Data[[#This Row],[MonthlyIncome]]&lt;4000,"Low",IF(HR_Data[[#This Row],[MonthlyIncome]]&lt;=7000,"Medium","High"))</f>
        <v>Medium</v>
      </c>
      <c r="AL510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511" spans="1:38" hidden="1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tr">
        <f>IF(HR_Data[[#This Row],[Age]]&lt;30,"Under 30",IF(HR_Data[[#This Row],[Age]]&lt;=40,"30-40",IF(HR_Data[[#This Row],[Age]]&lt;=50,"41-50","50+")))</f>
        <v>30-40</v>
      </c>
      <c r="AK511" t="str">
        <f>IF(HR_Data[[#This Row],[MonthlyIncome]]&lt;4000,"Low",IF(HR_Data[[#This Row],[MonthlyIncome]]&lt;=7000,"Medium","High"))</f>
        <v>High</v>
      </c>
      <c r="AL511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512" spans="1:38" hidden="1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tr">
        <f>IF(HR_Data[[#This Row],[Age]]&lt;30,"Under 30",IF(HR_Data[[#This Row],[Age]]&lt;=40,"30-40",IF(HR_Data[[#This Row],[Age]]&lt;=50,"41-50","50+")))</f>
        <v>50+</v>
      </c>
      <c r="AK512" t="str">
        <f>IF(HR_Data[[#This Row],[MonthlyIncome]]&lt;4000,"Low",IF(HR_Data[[#This Row],[MonthlyIncome]]&lt;=7000,"Medium","High"))</f>
        <v>High</v>
      </c>
      <c r="AL51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13" spans="1:38" hidden="1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tr">
        <f>IF(HR_Data[[#This Row],[Age]]&lt;30,"Under 30",IF(HR_Data[[#This Row],[Age]]&lt;=40,"30-40",IF(HR_Data[[#This Row],[Age]]&lt;=50,"41-50","50+")))</f>
        <v>30-40</v>
      </c>
      <c r="AK513" t="str">
        <f>IF(HR_Data[[#This Row],[MonthlyIncome]]&lt;4000,"Low",IF(HR_Data[[#This Row],[MonthlyIncome]]&lt;=7000,"Medium","High"))</f>
        <v>High</v>
      </c>
      <c r="AL51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14" spans="1:38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tr">
        <f>IF(HR_Data[[#This Row],[Age]]&lt;30,"Under 30",IF(HR_Data[[#This Row],[Age]]&lt;=40,"30-40",IF(HR_Data[[#This Row],[Age]]&lt;=50,"41-50","50+")))</f>
        <v>Under 30</v>
      </c>
      <c r="AK514" t="str">
        <f>IF(HR_Data[[#This Row],[MonthlyIncome]]&lt;4000,"Low",IF(HR_Data[[#This Row],[MonthlyIncome]]&lt;=7000,"Medium","High"))</f>
        <v>Low</v>
      </c>
      <c r="AL51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15" spans="1:38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tr">
        <f>IF(HR_Data[[#This Row],[Age]]&lt;30,"Under 30",IF(HR_Data[[#This Row],[Age]]&lt;=40,"30-40",IF(HR_Data[[#This Row],[Age]]&lt;=50,"41-50","50+")))</f>
        <v>Under 30</v>
      </c>
      <c r="AK515" t="str">
        <f>IF(HR_Data[[#This Row],[MonthlyIncome]]&lt;4000,"Low",IF(HR_Data[[#This Row],[MonthlyIncome]]&lt;=7000,"Medium","High"))</f>
        <v>Low</v>
      </c>
      <c r="AL515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516" spans="1:38" hidden="1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tr">
        <f>IF(HR_Data[[#This Row],[Age]]&lt;30,"Under 30",IF(HR_Data[[#This Row],[Age]]&lt;=40,"30-40",IF(HR_Data[[#This Row],[Age]]&lt;=50,"41-50","50+")))</f>
        <v>30-40</v>
      </c>
      <c r="AK516" t="str">
        <f>IF(HR_Data[[#This Row],[MonthlyIncome]]&lt;4000,"Low",IF(HR_Data[[#This Row],[MonthlyIncome]]&lt;=7000,"Medium","High"))</f>
        <v>Low</v>
      </c>
      <c r="AL51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17" spans="1:38" hidden="1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tr">
        <f>IF(HR_Data[[#This Row],[Age]]&lt;30,"Under 30",IF(HR_Data[[#This Row],[Age]]&lt;=40,"30-40",IF(HR_Data[[#This Row],[Age]]&lt;=50,"41-50","50+")))</f>
        <v>30-40</v>
      </c>
      <c r="AK517" t="str">
        <f>IF(HR_Data[[#This Row],[MonthlyIncome]]&lt;4000,"Low",IF(HR_Data[[#This Row],[MonthlyIncome]]&lt;=7000,"Medium","High"))</f>
        <v>Low</v>
      </c>
      <c r="AL517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518" spans="1:38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tr">
        <f>IF(HR_Data[[#This Row],[Age]]&lt;30,"Under 30",IF(HR_Data[[#This Row],[Age]]&lt;=40,"30-40",IF(HR_Data[[#This Row],[Age]]&lt;=50,"41-50","50+")))</f>
        <v>Under 30</v>
      </c>
      <c r="AK518" t="str">
        <f>IF(HR_Data[[#This Row],[MonthlyIncome]]&lt;4000,"Low",IF(HR_Data[[#This Row],[MonthlyIncome]]&lt;=7000,"Medium","High"))</f>
        <v>Low</v>
      </c>
      <c r="AL51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19" spans="1:38" hidden="1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tr">
        <f>IF(HR_Data[[#This Row],[Age]]&lt;30,"Under 30",IF(HR_Data[[#This Row],[Age]]&lt;=40,"30-40",IF(HR_Data[[#This Row],[Age]]&lt;=50,"41-50","50+")))</f>
        <v>Under 30</v>
      </c>
      <c r="AK519" t="str">
        <f>IF(HR_Data[[#This Row],[MonthlyIncome]]&lt;4000,"Low",IF(HR_Data[[#This Row],[MonthlyIncome]]&lt;=7000,"Medium","High"))</f>
        <v>Medium</v>
      </c>
      <c r="AL51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20" spans="1:38" hidden="1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tr">
        <f>IF(HR_Data[[#This Row],[Age]]&lt;30,"Under 30",IF(HR_Data[[#This Row],[Age]]&lt;=40,"30-40",IF(HR_Data[[#This Row],[Age]]&lt;=50,"41-50","50+")))</f>
        <v>30-40</v>
      </c>
      <c r="AK520" t="str">
        <f>IF(HR_Data[[#This Row],[MonthlyIncome]]&lt;4000,"Low",IF(HR_Data[[#This Row],[MonthlyIncome]]&lt;=7000,"Medium","High"))</f>
        <v>Medium</v>
      </c>
      <c r="AL52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21" spans="1:38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tr">
        <f>IF(HR_Data[[#This Row],[Age]]&lt;30,"Under 30",IF(HR_Data[[#This Row],[Age]]&lt;=40,"30-40",IF(HR_Data[[#This Row],[Age]]&lt;=50,"41-50","50+")))</f>
        <v>Under 30</v>
      </c>
      <c r="AK521" t="str">
        <f>IF(HR_Data[[#This Row],[MonthlyIncome]]&lt;4000,"Low",IF(HR_Data[[#This Row],[MonthlyIncome]]&lt;=7000,"Medium","High"))</f>
        <v>Low</v>
      </c>
      <c r="AL52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22" spans="1:38" hidden="1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tr">
        <f>IF(HR_Data[[#This Row],[Age]]&lt;30,"Under 30",IF(HR_Data[[#This Row],[Age]]&lt;=40,"30-40",IF(HR_Data[[#This Row],[Age]]&lt;=50,"41-50","50+")))</f>
        <v>41-50</v>
      </c>
      <c r="AK522" t="str">
        <f>IF(HR_Data[[#This Row],[MonthlyIncome]]&lt;4000,"Low",IF(HR_Data[[#This Row],[MonthlyIncome]]&lt;=7000,"Medium","High"))</f>
        <v>High</v>
      </c>
      <c r="AL52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23" spans="1:38" hidden="1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tr">
        <f>IF(HR_Data[[#This Row],[Age]]&lt;30,"Under 30",IF(HR_Data[[#This Row],[Age]]&lt;=40,"30-40",IF(HR_Data[[#This Row],[Age]]&lt;=50,"41-50","50+")))</f>
        <v>Under 30</v>
      </c>
      <c r="AK523" t="str">
        <f>IF(HR_Data[[#This Row],[MonthlyIncome]]&lt;4000,"Low",IF(HR_Data[[#This Row],[MonthlyIncome]]&lt;=7000,"Medium","High"))</f>
        <v>Medium</v>
      </c>
      <c r="AL52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24" spans="1:38" hidden="1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tr">
        <f>IF(HR_Data[[#This Row],[Age]]&lt;30,"Under 30",IF(HR_Data[[#This Row],[Age]]&lt;=40,"30-40",IF(HR_Data[[#This Row],[Age]]&lt;=50,"41-50","50+")))</f>
        <v>30-40</v>
      </c>
      <c r="AK524" t="str">
        <f>IF(HR_Data[[#This Row],[MonthlyIncome]]&lt;4000,"Low",IF(HR_Data[[#This Row],[MonthlyIncome]]&lt;=7000,"Medium","High"))</f>
        <v>Medium</v>
      </c>
      <c r="AL524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525" spans="1:38" hidden="1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tr">
        <f>IF(HR_Data[[#This Row],[Age]]&lt;30,"Under 30",IF(HR_Data[[#This Row],[Age]]&lt;=40,"30-40",IF(HR_Data[[#This Row],[Age]]&lt;=50,"41-50","50+")))</f>
        <v>41-50</v>
      </c>
      <c r="AK525" t="str">
        <f>IF(HR_Data[[#This Row],[MonthlyIncome]]&lt;4000,"Low",IF(HR_Data[[#This Row],[MonthlyIncome]]&lt;=7000,"Medium","High"))</f>
        <v>Low</v>
      </c>
      <c r="AL525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526" spans="1:38" hidden="1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tr">
        <f>IF(HR_Data[[#This Row],[Age]]&lt;30,"Under 30",IF(HR_Data[[#This Row],[Age]]&lt;=40,"30-40",IF(HR_Data[[#This Row],[Age]]&lt;=50,"41-50","50+")))</f>
        <v>30-40</v>
      </c>
      <c r="AK526" t="str">
        <f>IF(HR_Data[[#This Row],[MonthlyIncome]]&lt;4000,"Low",IF(HR_Data[[#This Row],[MonthlyIncome]]&lt;=7000,"Medium","High"))</f>
        <v>High</v>
      </c>
      <c r="AL52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27" spans="1:38" hidden="1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tr">
        <f>IF(HR_Data[[#This Row],[Age]]&lt;30,"Under 30",IF(HR_Data[[#This Row],[Age]]&lt;=40,"30-40",IF(HR_Data[[#This Row],[Age]]&lt;=50,"41-50","50+")))</f>
        <v>Under 30</v>
      </c>
      <c r="AK527" t="str">
        <f>IF(HR_Data[[#This Row],[MonthlyIncome]]&lt;4000,"Low",IF(HR_Data[[#This Row],[MonthlyIncome]]&lt;=7000,"Medium","High"))</f>
        <v>Medium</v>
      </c>
      <c r="AL52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28" spans="1:38" hidden="1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tr">
        <f>IF(HR_Data[[#This Row],[Age]]&lt;30,"Under 30",IF(HR_Data[[#This Row],[Age]]&lt;=40,"30-40",IF(HR_Data[[#This Row],[Age]]&lt;=50,"41-50","50+")))</f>
        <v>30-40</v>
      </c>
      <c r="AK528" t="str">
        <f>IF(HR_Data[[#This Row],[MonthlyIncome]]&lt;4000,"Low",IF(HR_Data[[#This Row],[MonthlyIncome]]&lt;=7000,"Medium","High"))</f>
        <v>Medium</v>
      </c>
      <c r="AL528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529" spans="1:38" hidden="1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tr">
        <f>IF(HR_Data[[#This Row],[Age]]&lt;30,"Under 30",IF(HR_Data[[#This Row],[Age]]&lt;=40,"30-40",IF(HR_Data[[#This Row],[Age]]&lt;=50,"41-50","50+")))</f>
        <v>30-40</v>
      </c>
      <c r="AK529" t="str">
        <f>IF(HR_Data[[#This Row],[MonthlyIncome]]&lt;4000,"Low",IF(HR_Data[[#This Row],[MonthlyIncome]]&lt;=7000,"Medium","High"))</f>
        <v>Medium</v>
      </c>
      <c r="AL529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30" spans="1:38" hidden="1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tr">
        <f>IF(HR_Data[[#This Row],[Age]]&lt;30,"Under 30",IF(HR_Data[[#This Row],[Age]]&lt;=40,"30-40",IF(HR_Data[[#This Row],[Age]]&lt;=50,"41-50","50+")))</f>
        <v>41-50</v>
      </c>
      <c r="AK530" t="str">
        <f>IF(HR_Data[[#This Row],[MonthlyIncome]]&lt;4000,"Low",IF(HR_Data[[#This Row],[MonthlyIncome]]&lt;=7000,"Medium","High"))</f>
        <v>Medium</v>
      </c>
      <c r="AL53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31" spans="1:38" hidden="1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tr">
        <f>IF(HR_Data[[#This Row],[Age]]&lt;30,"Under 30",IF(HR_Data[[#This Row],[Age]]&lt;=40,"30-40",IF(HR_Data[[#This Row],[Age]]&lt;=50,"41-50","50+")))</f>
        <v>30-40</v>
      </c>
      <c r="AK531" t="str">
        <f>IF(HR_Data[[#This Row],[MonthlyIncome]]&lt;4000,"Low",IF(HR_Data[[#This Row],[MonthlyIncome]]&lt;=7000,"Medium","High"))</f>
        <v>High</v>
      </c>
      <c r="AL53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32" spans="1:38" hidden="1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tr">
        <f>IF(HR_Data[[#This Row],[Age]]&lt;30,"Under 30",IF(HR_Data[[#This Row],[Age]]&lt;=40,"30-40",IF(HR_Data[[#This Row],[Age]]&lt;=50,"41-50","50+")))</f>
        <v>Under 30</v>
      </c>
      <c r="AK532" t="str">
        <f>IF(HR_Data[[#This Row],[MonthlyIncome]]&lt;4000,"Low",IF(HR_Data[[#This Row],[MonthlyIncome]]&lt;=7000,"Medium","High"))</f>
        <v>High</v>
      </c>
      <c r="AL53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33" spans="1:38" hidden="1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tr">
        <f>IF(HR_Data[[#This Row],[Age]]&lt;30,"Under 30",IF(HR_Data[[#This Row],[Age]]&lt;=40,"30-40",IF(HR_Data[[#This Row],[Age]]&lt;=50,"41-50","50+")))</f>
        <v>30-40</v>
      </c>
      <c r="AK533" t="str">
        <f>IF(HR_Data[[#This Row],[MonthlyIncome]]&lt;4000,"Low",IF(HR_Data[[#This Row],[MonthlyIncome]]&lt;=7000,"Medium","High"))</f>
        <v>High</v>
      </c>
      <c r="AL53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34" spans="1:38" hidden="1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tr">
        <f>IF(HR_Data[[#This Row],[Age]]&lt;30,"Under 30",IF(HR_Data[[#This Row],[Age]]&lt;=40,"30-40",IF(HR_Data[[#This Row],[Age]]&lt;=50,"41-50","50+")))</f>
        <v>41-50</v>
      </c>
      <c r="AK534" t="str">
        <f>IF(HR_Data[[#This Row],[MonthlyIncome]]&lt;4000,"Low",IF(HR_Data[[#This Row],[MonthlyIncome]]&lt;=7000,"Medium","High"))</f>
        <v>Medium</v>
      </c>
      <c r="AL53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35" spans="1:38" hidden="1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tr">
        <f>IF(HR_Data[[#This Row],[Age]]&lt;30,"Under 30",IF(HR_Data[[#This Row],[Age]]&lt;=40,"30-40",IF(HR_Data[[#This Row],[Age]]&lt;=50,"41-50","50+")))</f>
        <v>30-40</v>
      </c>
      <c r="AK535" t="str">
        <f>IF(HR_Data[[#This Row],[MonthlyIncome]]&lt;4000,"Low",IF(HR_Data[[#This Row],[MonthlyIncome]]&lt;=7000,"Medium","High"))</f>
        <v>High</v>
      </c>
      <c r="AL535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536" spans="1:38" hidden="1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tr">
        <f>IF(HR_Data[[#This Row],[Age]]&lt;30,"Under 30",IF(HR_Data[[#This Row],[Age]]&lt;=40,"30-40",IF(HR_Data[[#This Row],[Age]]&lt;=50,"41-50","50+")))</f>
        <v>50+</v>
      </c>
      <c r="AK536" t="str">
        <f>IF(HR_Data[[#This Row],[MonthlyIncome]]&lt;4000,"Low",IF(HR_Data[[#This Row],[MonthlyIncome]]&lt;=7000,"Medium","High"))</f>
        <v>High</v>
      </c>
      <c r="AL53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37" spans="1:38" hidden="1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tr">
        <f>IF(HR_Data[[#This Row],[Age]]&lt;30,"Under 30",IF(HR_Data[[#This Row],[Age]]&lt;=40,"30-40",IF(HR_Data[[#This Row],[Age]]&lt;=50,"41-50","50+")))</f>
        <v>41-50</v>
      </c>
      <c r="AK537" t="str">
        <f>IF(HR_Data[[#This Row],[MonthlyIncome]]&lt;4000,"Low",IF(HR_Data[[#This Row],[MonthlyIncome]]&lt;=7000,"Medium","High"))</f>
        <v>High</v>
      </c>
      <c r="AL537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538" spans="1:38" hidden="1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tr">
        <f>IF(HR_Data[[#This Row],[Age]]&lt;30,"Under 30",IF(HR_Data[[#This Row],[Age]]&lt;=40,"30-40",IF(HR_Data[[#This Row],[Age]]&lt;=50,"41-50","50+")))</f>
        <v>50+</v>
      </c>
      <c r="AK538" t="str">
        <f>IF(HR_Data[[#This Row],[MonthlyIncome]]&lt;4000,"Low",IF(HR_Data[[#This Row],[MonthlyIncome]]&lt;=7000,"Medium","High"))</f>
        <v>Medium</v>
      </c>
      <c r="AL53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39" spans="1:38" hidden="1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tr">
        <f>IF(HR_Data[[#This Row],[Age]]&lt;30,"Under 30",IF(HR_Data[[#This Row],[Age]]&lt;=40,"30-40",IF(HR_Data[[#This Row],[Age]]&lt;=50,"41-50","50+")))</f>
        <v>Under 30</v>
      </c>
      <c r="AK539" t="str">
        <f>IF(HR_Data[[#This Row],[MonthlyIncome]]&lt;4000,"Low",IF(HR_Data[[#This Row],[MonthlyIncome]]&lt;=7000,"Medium","High"))</f>
        <v>High</v>
      </c>
      <c r="AL539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40" spans="1:38" hidden="1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tr">
        <f>IF(HR_Data[[#This Row],[Age]]&lt;30,"Under 30",IF(HR_Data[[#This Row],[Age]]&lt;=40,"30-40",IF(HR_Data[[#This Row],[Age]]&lt;=50,"41-50","50+")))</f>
        <v>41-50</v>
      </c>
      <c r="AK540" t="str">
        <f>IF(HR_Data[[#This Row],[MonthlyIncome]]&lt;4000,"Low",IF(HR_Data[[#This Row],[MonthlyIncome]]&lt;=7000,"Medium","High"))</f>
        <v>High</v>
      </c>
      <c r="AL540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541" spans="1:38" hidden="1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tr">
        <f>IF(HR_Data[[#This Row],[Age]]&lt;30,"Under 30",IF(HR_Data[[#This Row],[Age]]&lt;=40,"30-40",IF(HR_Data[[#This Row],[Age]]&lt;=50,"41-50","50+")))</f>
        <v>41-50</v>
      </c>
      <c r="AK541" t="str">
        <f>IF(HR_Data[[#This Row],[MonthlyIncome]]&lt;4000,"Low",IF(HR_Data[[#This Row],[MonthlyIncome]]&lt;=7000,"Medium","High"))</f>
        <v>Low</v>
      </c>
      <c r="AL54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42" spans="1:38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tr">
        <f>IF(HR_Data[[#This Row],[Age]]&lt;30,"Under 30",IF(HR_Data[[#This Row],[Age]]&lt;=40,"30-40",IF(HR_Data[[#This Row],[Age]]&lt;=50,"41-50","50+")))</f>
        <v>Under 30</v>
      </c>
      <c r="AK542" t="str">
        <f>IF(HR_Data[[#This Row],[MonthlyIncome]]&lt;4000,"Low",IF(HR_Data[[#This Row],[MonthlyIncome]]&lt;=7000,"Medium","High"))</f>
        <v>Low</v>
      </c>
      <c r="AL54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43" spans="1:38" hidden="1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tr">
        <f>IF(HR_Data[[#This Row],[Age]]&lt;30,"Under 30",IF(HR_Data[[#This Row],[Age]]&lt;=40,"30-40",IF(HR_Data[[#This Row],[Age]]&lt;=50,"41-50","50+")))</f>
        <v>30-40</v>
      </c>
      <c r="AK543" t="str">
        <f>IF(HR_Data[[#This Row],[MonthlyIncome]]&lt;4000,"Low",IF(HR_Data[[#This Row],[MonthlyIncome]]&lt;=7000,"Medium","High"))</f>
        <v>High</v>
      </c>
      <c r="AL54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44" spans="1:38" hidden="1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tr">
        <f>IF(HR_Data[[#This Row],[Age]]&lt;30,"Under 30",IF(HR_Data[[#This Row],[Age]]&lt;=40,"30-40",IF(HR_Data[[#This Row],[Age]]&lt;=50,"41-50","50+")))</f>
        <v>30-40</v>
      </c>
      <c r="AK544" t="str">
        <f>IF(HR_Data[[#This Row],[MonthlyIncome]]&lt;4000,"Low",IF(HR_Data[[#This Row],[MonthlyIncome]]&lt;=7000,"Medium","High"))</f>
        <v>High</v>
      </c>
      <c r="AL544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545" spans="1:38" hidden="1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tr">
        <f>IF(HR_Data[[#This Row],[Age]]&lt;30,"Under 30",IF(HR_Data[[#This Row],[Age]]&lt;=40,"30-40",IF(HR_Data[[#This Row],[Age]]&lt;=50,"41-50","50+")))</f>
        <v>41-50</v>
      </c>
      <c r="AK545" t="str">
        <f>IF(HR_Data[[#This Row],[MonthlyIncome]]&lt;4000,"Low",IF(HR_Data[[#This Row],[MonthlyIncome]]&lt;=7000,"Medium","High"))</f>
        <v>Low</v>
      </c>
      <c r="AL54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46" spans="1:38" hidden="1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tr">
        <f>IF(HR_Data[[#This Row],[Age]]&lt;30,"Under 30",IF(HR_Data[[#This Row],[Age]]&lt;=40,"30-40",IF(HR_Data[[#This Row],[Age]]&lt;=50,"41-50","50+")))</f>
        <v>41-50</v>
      </c>
      <c r="AK546" t="str">
        <f>IF(HR_Data[[#This Row],[MonthlyIncome]]&lt;4000,"Low",IF(HR_Data[[#This Row],[MonthlyIncome]]&lt;=7000,"Medium","High"))</f>
        <v>High</v>
      </c>
      <c r="AL546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547" spans="1:38" hidden="1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tr">
        <f>IF(HR_Data[[#This Row],[Age]]&lt;30,"Under 30",IF(HR_Data[[#This Row],[Age]]&lt;=40,"30-40",IF(HR_Data[[#This Row],[Age]]&lt;=50,"41-50","50+")))</f>
        <v>30-40</v>
      </c>
      <c r="AK547" t="str">
        <f>IF(HR_Data[[#This Row],[MonthlyIncome]]&lt;4000,"Low",IF(HR_Data[[#This Row],[MonthlyIncome]]&lt;=7000,"Medium","High"))</f>
        <v>Medium</v>
      </c>
      <c r="AL54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48" spans="1:38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tr">
        <f>IF(HR_Data[[#This Row],[Age]]&lt;30,"Under 30",IF(HR_Data[[#This Row],[Age]]&lt;=40,"30-40",IF(HR_Data[[#This Row],[Age]]&lt;=50,"41-50","50+")))</f>
        <v>Under 30</v>
      </c>
      <c r="AK548" t="str">
        <f>IF(HR_Data[[#This Row],[MonthlyIncome]]&lt;4000,"Low",IF(HR_Data[[#This Row],[MonthlyIncome]]&lt;=7000,"Medium","High"))</f>
        <v>Low</v>
      </c>
      <c r="AL548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549" spans="1:38" hidden="1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tr">
        <f>IF(HR_Data[[#This Row],[Age]]&lt;30,"Under 30",IF(HR_Data[[#This Row],[Age]]&lt;=40,"30-40",IF(HR_Data[[#This Row],[Age]]&lt;=50,"41-50","50+")))</f>
        <v>41-50</v>
      </c>
      <c r="AK549" t="str">
        <f>IF(HR_Data[[#This Row],[MonthlyIncome]]&lt;4000,"Low",IF(HR_Data[[#This Row],[MonthlyIncome]]&lt;=7000,"Medium","High"))</f>
        <v>Low</v>
      </c>
      <c r="AL54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50" spans="1:38" hidden="1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tr">
        <f>IF(HR_Data[[#This Row],[Age]]&lt;30,"Under 30",IF(HR_Data[[#This Row],[Age]]&lt;=40,"30-40",IF(HR_Data[[#This Row],[Age]]&lt;=50,"41-50","50+")))</f>
        <v>41-50</v>
      </c>
      <c r="AK550" t="str">
        <f>IF(HR_Data[[#This Row],[MonthlyIncome]]&lt;4000,"Low",IF(HR_Data[[#This Row],[MonthlyIncome]]&lt;=7000,"Medium","High"))</f>
        <v>Medium</v>
      </c>
      <c r="AL55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51" spans="1:38" hidden="1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tr">
        <f>IF(HR_Data[[#This Row],[Age]]&lt;30,"Under 30",IF(HR_Data[[#This Row],[Age]]&lt;=40,"30-40",IF(HR_Data[[#This Row],[Age]]&lt;=50,"41-50","50+")))</f>
        <v>30-40</v>
      </c>
      <c r="AK551" t="str">
        <f>IF(HR_Data[[#This Row],[MonthlyIncome]]&lt;4000,"Low",IF(HR_Data[[#This Row],[MonthlyIncome]]&lt;=7000,"Medium","High"))</f>
        <v>Medium</v>
      </c>
      <c r="AL55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52" spans="1:38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tr">
        <f>IF(HR_Data[[#This Row],[Age]]&lt;30,"Under 30",IF(HR_Data[[#This Row],[Age]]&lt;=40,"30-40",IF(HR_Data[[#This Row],[Age]]&lt;=50,"41-50","50+")))</f>
        <v>Under 30</v>
      </c>
      <c r="AK552" t="str">
        <f>IF(HR_Data[[#This Row],[MonthlyIncome]]&lt;4000,"Low",IF(HR_Data[[#This Row],[MonthlyIncome]]&lt;=7000,"Medium","High"))</f>
        <v>Low</v>
      </c>
      <c r="AL55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53" spans="1:38" hidden="1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tr">
        <f>IF(HR_Data[[#This Row],[Age]]&lt;30,"Under 30",IF(HR_Data[[#This Row],[Age]]&lt;=40,"30-40",IF(HR_Data[[#This Row],[Age]]&lt;=50,"41-50","50+")))</f>
        <v>30-40</v>
      </c>
      <c r="AK553" t="str">
        <f>IF(HR_Data[[#This Row],[MonthlyIncome]]&lt;4000,"Low",IF(HR_Data[[#This Row],[MonthlyIncome]]&lt;=7000,"Medium","High"))</f>
        <v>Medium</v>
      </c>
      <c r="AL55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54" spans="1:38" hidden="1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tr">
        <f>IF(HR_Data[[#This Row],[Age]]&lt;30,"Under 30",IF(HR_Data[[#This Row],[Age]]&lt;=40,"30-40",IF(HR_Data[[#This Row],[Age]]&lt;=50,"41-50","50+")))</f>
        <v>50+</v>
      </c>
      <c r="AK554" t="str">
        <f>IF(HR_Data[[#This Row],[MonthlyIncome]]&lt;4000,"Low",IF(HR_Data[[#This Row],[MonthlyIncome]]&lt;=7000,"Medium","High"))</f>
        <v>High</v>
      </c>
      <c r="AL55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55" spans="1:38" hidden="1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tr">
        <f>IF(HR_Data[[#This Row],[Age]]&lt;30,"Under 30",IF(HR_Data[[#This Row],[Age]]&lt;=40,"30-40",IF(HR_Data[[#This Row],[Age]]&lt;=50,"41-50","50+")))</f>
        <v>30-40</v>
      </c>
      <c r="AK555" t="str">
        <f>IF(HR_Data[[#This Row],[MonthlyIncome]]&lt;4000,"Low",IF(HR_Data[[#This Row],[MonthlyIncome]]&lt;=7000,"Medium","High"))</f>
        <v>Low</v>
      </c>
      <c r="AL55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56" spans="1:38" hidden="1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tr">
        <f>IF(HR_Data[[#This Row],[Age]]&lt;30,"Under 30",IF(HR_Data[[#This Row],[Age]]&lt;=40,"30-40",IF(HR_Data[[#This Row],[Age]]&lt;=50,"41-50","50+")))</f>
        <v>Under 30</v>
      </c>
      <c r="AK556" t="str">
        <f>IF(HR_Data[[#This Row],[MonthlyIncome]]&lt;4000,"Low",IF(HR_Data[[#This Row],[MonthlyIncome]]&lt;=7000,"Medium","High"))</f>
        <v>Medium</v>
      </c>
      <c r="AL55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57" spans="1:38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tr">
        <f>IF(HR_Data[[#This Row],[Age]]&lt;30,"Under 30",IF(HR_Data[[#This Row],[Age]]&lt;=40,"30-40",IF(HR_Data[[#This Row],[Age]]&lt;=50,"41-50","50+")))</f>
        <v>Under 30</v>
      </c>
      <c r="AK557" t="str">
        <f>IF(HR_Data[[#This Row],[MonthlyIncome]]&lt;4000,"Low",IF(HR_Data[[#This Row],[MonthlyIncome]]&lt;=7000,"Medium","High"))</f>
        <v>Low</v>
      </c>
      <c r="AL55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58" spans="1:38" hidden="1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tr">
        <f>IF(HR_Data[[#This Row],[Age]]&lt;30,"Under 30",IF(HR_Data[[#This Row],[Age]]&lt;=40,"30-40",IF(HR_Data[[#This Row],[Age]]&lt;=50,"41-50","50+")))</f>
        <v>50+</v>
      </c>
      <c r="AK558" t="str">
        <f>IF(HR_Data[[#This Row],[MonthlyIncome]]&lt;4000,"Low",IF(HR_Data[[#This Row],[MonthlyIncome]]&lt;=7000,"Medium","High"))</f>
        <v>Low</v>
      </c>
      <c r="AL55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59" spans="1:38" hidden="1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tr">
        <f>IF(HR_Data[[#This Row],[Age]]&lt;30,"Under 30",IF(HR_Data[[#This Row],[Age]]&lt;=40,"30-40",IF(HR_Data[[#This Row],[Age]]&lt;=50,"41-50","50+")))</f>
        <v>30-40</v>
      </c>
      <c r="AK559" t="str">
        <f>IF(HR_Data[[#This Row],[MonthlyIncome]]&lt;4000,"Low",IF(HR_Data[[#This Row],[MonthlyIncome]]&lt;=7000,"Medium","High"))</f>
        <v>Medium</v>
      </c>
      <c r="AL559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560" spans="1:38" hidden="1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tr">
        <f>IF(HR_Data[[#This Row],[Age]]&lt;30,"Under 30",IF(HR_Data[[#This Row],[Age]]&lt;=40,"30-40",IF(HR_Data[[#This Row],[Age]]&lt;=50,"41-50","50+")))</f>
        <v>30-40</v>
      </c>
      <c r="AK560" t="str">
        <f>IF(HR_Data[[#This Row],[MonthlyIncome]]&lt;4000,"Low",IF(HR_Data[[#This Row],[MonthlyIncome]]&lt;=7000,"Medium","High"))</f>
        <v>Medium</v>
      </c>
      <c r="AL56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61" spans="1:38" hidden="1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tr">
        <f>IF(HR_Data[[#This Row],[Age]]&lt;30,"Under 30",IF(HR_Data[[#This Row],[Age]]&lt;=40,"30-40",IF(HR_Data[[#This Row],[Age]]&lt;=50,"41-50","50+")))</f>
        <v>30-40</v>
      </c>
      <c r="AK561" t="str">
        <f>IF(HR_Data[[#This Row],[MonthlyIncome]]&lt;4000,"Low",IF(HR_Data[[#This Row],[MonthlyIncome]]&lt;=7000,"Medium","High"))</f>
        <v>Low</v>
      </c>
      <c r="AL561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562" spans="1:38" hidden="1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tr">
        <f>IF(HR_Data[[#This Row],[Age]]&lt;30,"Under 30",IF(HR_Data[[#This Row],[Age]]&lt;=40,"30-40",IF(HR_Data[[#This Row],[Age]]&lt;=50,"41-50","50+")))</f>
        <v>30-40</v>
      </c>
      <c r="AK562" t="str">
        <f>IF(HR_Data[[#This Row],[MonthlyIncome]]&lt;4000,"Low",IF(HR_Data[[#This Row],[MonthlyIncome]]&lt;=7000,"Medium","High"))</f>
        <v>Medium</v>
      </c>
      <c r="AL562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563" spans="1:38" hidden="1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tr">
        <f>IF(HR_Data[[#This Row],[Age]]&lt;30,"Under 30",IF(HR_Data[[#This Row],[Age]]&lt;=40,"30-40",IF(HR_Data[[#This Row],[Age]]&lt;=50,"41-50","50+")))</f>
        <v>50+</v>
      </c>
      <c r="AK563" t="str">
        <f>IF(HR_Data[[#This Row],[MonthlyIncome]]&lt;4000,"Low",IF(HR_Data[[#This Row],[MonthlyIncome]]&lt;=7000,"Medium","High"))</f>
        <v>High</v>
      </c>
      <c r="AL563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564" spans="1:38" hidden="1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tr">
        <f>IF(HR_Data[[#This Row],[Age]]&lt;30,"Under 30",IF(HR_Data[[#This Row],[Age]]&lt;=40,"30-40",IF(HR_Data[[#This Row],[Age]]&lt;=50,"41-50","50+")))</f>
        <v>30-40</v>
      </c>
      <c r="AK564" t="str">
        <f>IF(HR_Data[[#This Row],[MonthlyIncome]]&lt;4000,"Low",IF(HR_Data[[#This Row],[MonthlyIncome]]&lt;=7000,"Medium","High"))</f>
        <v>Low</v>
      </c>
      <c r="AL56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65" spans="1:38" hidden="1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tr">
        <f>IF(HR_Data[[#This Row],[Age]]&lt;30,"Under 30",IF(HR_Data[[#This Row],[Age]]&lt;=40,"30-40",IF(HR_Data[[#This Row],[Age]]&lt;=50,"41-50","50+")))</f>
        <v>Under 30</v>
      </c>
      <c r="AK565" t="str">
        <f>IF(HR_Data[[#This Row],[MonthlyIncome]]&lt;4000,"Low",IF(HR_Data[[#This Row],[MonthlyIncome]]&lt;=7000,"Medium","High"))</f>
        <v>Medium</v>
      </c>
      <c r="AL56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66" spans="1:38" hidden="1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tr">
        <f>IF(HR_Data[[#This Row],[Age]]&lt;30,"Under 30",IF(HR_Data[[#This Row],[Age]]&lt;=40,"30-40",IF(HR_Data[[#This Row],[Age]]&lt;=50,"41-50","50+")))</f>
        <v>41-50</v>
      </c>
      <c r="AK566" t="str">
        <f>IF(HR_Data[[#This Row],[MonthlyIncome]]&lt;4000,"Low",IF(HR_Data[[#This Row],[MonthlyIncome]]&lt;=7000,"Medium","High"))</f>
        <v>Medium</v>
      </c>
      <c r="AL56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67" spans="1:38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tr">
        <f>IF(HR_Data[[#This Row],[Age]]&lt;30,"Under 30",IF(HR_Data[[#This Row],[Age]]&lt;=40,"30-40",IF(HR_Data[[#This Row],[Age]]&lt;=50,"41-50","50+")))</f>
        <v>Under 30</v>
      </c>
      <c r="AK567" t="str">
        <f>IF(HR_Data[[#This Row],[MonthlyIncome]]&lt;4000,"Low",IF(HR_Data[[#This Row],[MonthlyIncome]]&lt;=7000,"Medium","High"))</f>
        <v>Low</v>
      </c>
      <c r="AL56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68" spans="1:38" hidden="1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tr">
        <f>IF(HR_Data[[#This Row],[Age]]&lt;30,"Under 30",IF(HR_Data[[#This Row],[Age]]&lt;=40,"30-40",IF(HR_Data[[#This Row],[Age]]&lt;=50,"41-50","50+")))</f>
        <v>41-50</v>
      </c>
      <c r="AK568" t="str">
        <f>IF(HR_Data[[#This Row],[MonthlyIncome]]&lt;4000,"Low",IF(HR_Data[[#This Row],[MonthlyIncome]]&lt;=7000,"Medium","High"))</f>
        <v>Medium</v>
      </c>
      <c r="AL56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69" spans="1:38" hidden="1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tr">
        <f>IF(HR_Data[[#This Row],[Age]]&lt;30,"Under 30",IF(HR_Data[[#This Row],[Age]]&lt;=40,"30-40",IF(HR_Data[[#This Row],[Age]]&lt;=50,"41-50","50+")))</f>
        <v>30-40</v>
      </c>
      <c r="AK569" t="str">
        <f>IF(HR_Data[[#This Row],[MonthlyIncome]]&lt;4000,"Low",IF(HR_Data[[#This Row],[MonthlyIncome]]&lt;=7000,"Medium","High"))</f>
        <v>Medium</v>
      </c>
      <c r="AL569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70" spans="1:38" hidden="1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tr">
        <f>IF(HR_Data[[#This Row],[Age]]&lt;30,"Under 30",IF(HR_Data[[#This Row],[Age]]&lt;=40,"30-40",IF(HR_Data[[#This Row],[Age]]&lt;=50,"41-50","50+")))</f>
        <v>50+</v>
      </c>
      <c r="AK570" t="str">
        <f>IF(HR_Data[[#This Row],[MonthlyIncome]]&lt;4000,"Low",IF(HR_Data[[#This Row],[MonthlyIncome]]&lt;=7000,"Medium","High"))</f>
        <v>High</v>
      </c>
      <c r="AL57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71" spans="1:38" hidden="1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tr">
        <f>IF(HR_Data[[#This Row],[Age]]&lt;30,"Under 30",IF(HR_Data[[#This Row],[Age]]&lt;=40,"30-40",IF(HR_Data[[#This Row],[Age]]&lt;=50,"41-50","50+")))</f>
        <v>30-40</v>
      </c>
      <c r="AK571" t="str">
        <f>IF(HR_Data[[#This Row],[MonthlyIncome]]&lt;4000,"Low",IF(HR_Data[[#This Row],[MonthlyIncome]]&lt;=7000,"Medium","High"))</f>
        <v>High</v>
      </c>
      <c r="AL57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72" spans="1:38" hidden="1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tr">
        <f>IF(HR_Data[[#This Row],[Age]]&lt;30,"Under 30",IF(HR_Data[[#This Row],[Age]]&lt;=40,"30-40",IF(HR_Data[[#This Row],[Age]]&lt;=50,"41-50","50+")))</f>
        <v>50+</v>
      </c>
      <c r="AK572" t="str">
        <f>IF(HR_Data[[#This Row],[MonthlyIncome]]&lt;4000,"Low",IF(HR_Data[[#This Row],[MonthlyIncome]]&lt;=7000,"Medium","High"))</f>
        <v>Medium</v>
      </c>
      <c r="AL57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73" spans="1:38" hidden="1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tr">
        <f>IF(HR_Data[[#This Row],[Age]]&lt;30,"Under 30",IF(HR_Data[[#This Row],[Age]]&lt;=40,"30-40",IF(HR_Data[[#This Row],[Age]]&lt;=50,"41-50","50+")))</f>
        <v>Under 30</v>
      </c>
      <c r="AK573" t="str">
        <f>IF(HR_Data[[#This Row],[MonthlyIncome]]&lt;4000,"Low",IF(HR_Data[[#This Row],[MonthlyIncome]]&lt;=7000,"Medium","High"))</f>
        <v>Medium</v>
      </c>
      <c r="AL57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74" spans="1:38" hidden="1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tr">
        <f>IF(HR_Data[[#This Row],[Age]]&lt;30,"Under 30",IF(HR_Data[[#This Row],[Age]]&lt;=40,"30-40",IF(HR_Data[[#This Row],[Age]]&lt;=50,"41-50","50+")))</f>
        <v>Under 30</v>
      </c>
      <c r="AK574" t="str">
        <f>IF(HR_Data[[#This Row],[MonthlyIncome]]&lt;4000,"Low",IF(HR_Data[[#This Row],[MonthlyIncome]]&lt;=7000,"Medium","High"))</f>
        <v>Medium</v>
      </c>
      <c r="AL57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75" spans="1:38" hidden="1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tr">
        <f>IF(HR_Data[[#This Row],[Age]]&lt;30,"Under 30",IF(HR_Data[[#This Row],[Age]]&lt;=40,"30-40",IF(HR_Data[[#This Row],[Age]]&lt;=50,"41-50","50+")))</f>
        <v>Under 30</v>
      </c>
      <c r="AK575" t="str">
        <f>IF(HR_Data[[#This Row],[MonthlyIncome]]&lt;4000,"Low",IF(HR_Data[[#This Row],[MonthlyIncome]]&lt;=7000,"Medium","High"))</f>
        <v>Medium</v>
      </c>
      <c r="AL57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76" spans="1:38" hidden="1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tr">
        <f>IF(HR_Data[[#This Row],[Age]]&lt;30,"Under 30",IF(HR_Data[[#This Row],[Age]]&lt;=40,"30-40",IF(HR_Data[[#This Row],[Age]]&lt;=50,"41-50","50+")))</f>
        <v>30-40</v>
      </c>
      <c r="AK576" t="str">
        <f>IF(HR_Data[[#This Row],[MonthlyIncome]]&lt;4000,"Low",IF(HR_Data[[#This Row],[MonthlyIncome]]&lt;=7000,"Medium","High"))</f>
        <v>Low</v>
      </c>
      <c r="AL57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77" spans="1:38" hidden="1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tr">
        <f>IF(HR_Data[[#This Row],[Age]]&lt;30,"Under 30",IF(HR_Data[[#This Row],[Age]]&lt;=40,"30-40",IF(HR_Data[[#This Row],[Age]]&lt;=50,"41-50","50+")))</f>
        <v>50+</v>
      </c>
      <c r="AK577" t="str">
        <f>IF(HR_Data[[#This Row],[MonthlyIncome]]&lt;4000,"Low",IF(HR_Data[[#This Row],[MonthlyIncome]]&lt;=7000,"Medium","High"))</f>
        <v>Medium</v>
      </c>
      <c r="AL57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78" spans="1:38" hidden="1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tr">
        <f>IF(HR_Data[[#This Row],[Age]]&lt;30,"Under 30",IF(HR_Data[[#This Row],[Age]]&lt;=40,"30-40",IF(HR_Data[[#This Row],[Age]]&lt;=50,"41-50","50+")))</f>
        <v>Under 30</v>
      </c>
      <c r="AK578" t="str">
        <f>IF(HR_Data[[#This Row],[MonthlyIncome]]&lt;4000,"Low",IF(HR_Data[[#This Row],[MonthlyIncome]]&lt;=7000,"Medium","High"))</f>
        <v>Medium</v>
      </c>
      <c r="AL57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79" spans="1:38" hidden="1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tr">
        <f>IF(HR_Data[[#This Row],[Age]]&lt;30,"Under 30",IF(HR_Data[[#This Row],[Age]]&lt;=40,"30-40",IF(HR_Data[[#This Row],[Age]]&lt;=50,"41-50","50+")))</f>
        <v>30-40</v>
      </c>
      <c r="AK579" t="str">
        <f>IF(HR_Data[[#This Row],[MonthlyIncome]]&lt;4000,"Low",IF(HR_Data[[#This Row],[MonthlyIncome]]&lt;=7000,"Medium","High"))</f>
        <v>Low</v>
      </c>
      <c r="AL57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80" spans="1:38" hidden="1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tr">
        <f>IF(HR_Data[[#This Row],[Age]]&lt;30,"Under 30",IF(HR_Data[[#This Row],[Age]]&lt;=40,"30-40",IF(HR_Data[[#This Row],[Age]]&lt;=50,"41-50","50+")))</f>
        <v>30-40</v>
      </c>
      <c r="AK580" t="str">
        <f>IF(HR_Data[[#This Row],[MonthlyIncome]]&lt;4000,"Low",IF(HR_Data[[#This Row],[MonthlyIncome]]&lt;=7000,"Medium","High"))</f>
        <v>Medium</v>
      </c>
      <c r="AL580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581" spans="1:38" hidden="1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tr">
        <f>IF(HR_Data[[#This Row],[Age]]&lt;30,"Under 30",IF(HR_Data[[#This Row],[Age]]&lt;=40,"30-40",IF(HR_Data[[#This Row],[Age]]&lt;=50,"41-50","50+")))</f>
        <v>30-40</v>
      </c>
      <c r="AK581" t="str">
        <f>IF(HR_Data[[#This Row],[MonthlyIncome]]&lt;4000,"Low",IF(HR_Data[[#This Row],[MonthlyIncome]]&lt;=7000,"Medium","High"))</f>
        <v>Medium</v>
      </c>
      <c r="AL58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82" spans="1:38" hidden="1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tr">
        <f>IF(HR_Data[[#This Row],[Age]]&lt;30,"Under 30",IF(HR_Data[[#This Row],[Age]]&lt;=40,"30-40",IF(HR_Data[[#This Row],[Age]]&lt;=50,"41-50","50+")))</f>
        <v>30-40</v>
      </c>
      <c r="AK582" t="str">
        <f>IF(HR_Data[[#This Row],[MonthlyIncome]]&lt;4000,"Low",IF(HR_Data[[#This Row],[MonthlyIncome]]&lt;=7000,"Medium","High"))</f>
        <v>Low</v>
      </c>
      <c r="AL58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83" spans="1:38" hidden="1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tr">
        <f>IF(HR_Data[[#This Row],[Age]]&lt;30,"Under 30",IF(HR_Data[[#This Row],[Age]]&lt;=40,"30-40",IF(HR_Data[[#This Row],[Age]]&lt;=50,"41-50","50+")))</f>
        <v>30-40</v>
      </c>
      <c r="AK583" t="str">
        <f>IF(HR_Data[[#This Row],[MonthlyIncome]]&lt;4000,"Low",IF(HR_Data[[#This Row],[MonthlyIncome]]&lt;=7000,"Medium","High"))</f>
        <v>Low</v>
      </c>
      <c r="AL58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84" spans="1:38" hidden="1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tr">
        <f>IF(HR_Data[[#This Row],[Age]]&lt;30,"Under 30",IF(HR_Data[[#This Row],[Age]]&lt;=40,"30-40",IF(HR_Data[[#This Row],[Age]]&lt;=50,"41-50","50+")))</f>
        <v>30-40</v>
      </c>
      <c r="AK584" t="str">
        <f>IF(HR_Data[[#This Row],[MonthlyIncome]]&lt;4000,"Low",IF(HR_Data[[#This Row],[MonthlyIncome]]&lt;=7000,"Medium","High"))</f>
        <v>Medium</v>
      </c>
      <c r="AL58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85" spans="1:38" hidden="1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tr">
        <f>IF(HR_Data[[#This Row],[Age]]&lt;30,"Under 30",IF(HR_Data[[#This Row],[Age]]&lt;=40,"30-40",IF(HR_Data[[#This Row],[Age]]&lt;=50,"41-50","50+")))</f>
        <v>30-40</v>
      </c>
      <c r="AK585" t="str">
        <f>IF(HR_Data[[#This Row],[MonthlyIncome]]&lt;4000,"Low",IF(HR_Data[[#This Row],[MonthlyIncome]]&lt;=7000,"Medium","High"))</f>
        <v>Medium</v>
      </c>
      <c r="AL58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86" spans="1:38" hidden="1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tr">
        <f>IF(HR_Data[[#This Row],[Age]]&lt;30,"Under 30",IF(HR_Data[[#This Row],[Age]]&lt;=40,"30-40",IF(HR_Data[[#This Row],[Age]]&lt;=50,"41-50","50+")))</f>
        <v>41-50</v>
      </c>
      <c r="AK586" t="str">
        <f>IF(HR_Data[[#This Row],[MonthlyIncome]]&lt;4000,"Low",IF(HR_Data[[#This Row],[MonthlyIncome]]&lt;=7000,"Medium","High"))</f>
        <v>High</v>
      </c>
      <c r="AL586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587" spans="1:38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tr">
        <f>IF(HR_Data[[#This Row],[Age]]&lt;30,"Under 30",IF(HR_Data[[#This Row],[Age]]&lt;=40,"30-40",IF(HR_Data[[#This Row],[Age]]&lt;=50,"41-50","50+")))</f>
        <v>Under 30</v>
      </c>
      <c r="AK587" t="str">
        <f>IF(HR_Data[[#This Row],[MonthlyIncome]]&lt;4000,"Low",IF(HR_Data[[#This Row],[MonthlyIncome]]&lt;=7000,"Medium","High"))</f>
        <v>Low</v>
      </c>
      <c r="AL587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588" spans="1:38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tr">
        <f>IF(HR_Data[[#This Row],[Age]]&lt;30,"Under 30",IF(HR_Data[[#This Row],[Age]]&lt;=40,"30-40",IF(HR_Data[[#This Row],[Age]]&lt;=50,"41-50","50+")))</f>
        <v>Under 30</v>
      </c>
      <c r="AK588" t="str">
        <f>IF(HR_Data[[#This Row],[MonthlyIncome]]&lt;4000,"Low",IF(HR_Data[[#This Row],[MonthlyIncome]]&lt;=7000,"Medium","High"))</f>
        <v>Low</v>
      </c>
      <c r="AL588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589" spans="1:38" hidden="1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tr">
        <f>IF(HR_Data[[#This Row],[Age]]&lt;30,"Under 30",IF(HR_Data[[#This Row],[Age]]&lt;=40,"30-40",IF(HR_Data[[#This Row],[Age]]&lt;=50,"41-50","50+")))</f>
        <v>50+</v>
      </c>
      <c r="AK589" t="str">
        <f>IF(HR_Data[[#This Row],[MonthlyIncome]]&lt;4000,"Low",IF(HR_Data[[#This Row],[MonthlyIncome]]&lt;=7000,"Medium","High"))</f>
        <v>Low</v>
      </c>
      <c r="AL58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90" spans="1:38" hidden="1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tr">
        <f>IF(HR_Data[[#This Row],[Age]]&lt;30,"Under 30",IF(HR_Data[[#This Row],[Age]]&lt;=40,"30-40",IF(HR_Data[[#This Row],[Age]]&lt;=50,"41-50","50+")))</f>
        <v>41-50</v>
      </c>
      <c r="AK590" t="str">
        <f>IF(HR_Data[[#This Row],[MonthlyIncome]]&lt;4000,"Low",IF(HR_Data[[#This Row],[MonthlyIncome]]&lt;=7000,"Medium","High"))</f>
        <v>High</v>
      </c>
      <c r="AL59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91" spans="1:38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tr">
        <f>IF(HR_Data[[#This Row],[Age]]&lt;30,"Under 30",IF(HR_Data[[#This Row],[Age]]&lt;=40,"30-40",IF(HR_Data[[#This Row],[Age]]&lt;=50,"41-50","50+")))</f>
        <v>Under 30</v>
      </c>
      <c r="AK591" t="str">
        <f>IF(HR_Data[[#This Row],[MonthlyIncome]]&lt;4000,"Low",IF(HR_Data[[#This Row],[MonthlyIncome]]&lt;=7000,"Medium","High"))</f>
        <v>Low</v>
      </c>
      <c r="AL591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592" spans="1:38" hidden="1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tr">
        <f>IF(HR_Data[[#This Row],[Age]]&lt;30,"Under 30",IF(HR_Data[[#This Row],[Age]]&lt;=40,"30-40",IF(HR_Data[[#This Row],[Age]]&lt;=50,"41-50","50+")))</f>
        <v>30-40</v>
      </c>
      <c r="AK592" t="str">
        <f>IF(HR_Data[[#This Row],[MonthlyIncome]]&lt;4000,"Low",IF(HR_Data[[#This Row],[MonthlyIncome]]&lt;=7000,"Medium","High"))</f>
        <v>High</v>
      </c>
      <c r="AL592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593" spans="1:38" hidden="1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tr">
        <f>IF(HR_Data[[#This Row],[Age]]&lt;30,"Under 30",IF(HR_Data[[#This Row],[Age]]&lt;=40,"30-40",IF(HR_Data[[#This Row],[Age]]&lt;=50,"41-50","50+")))</f>
        <v>30-40</v>
      </c>
      <c r="AK593" t="str">
        <f>IF(HR_Data[[#This Row],[MonthlyIncome]]&lt;4000,"Low",IF(HR_Data[[#This Row],[MonthlyIncome]]&lt;=7000,"Medium","High"))</f>
        <v>Medium</v>
      </c>
      <c r="AL59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94" spans="1:38" hidden="1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tr">
        <f>IF(HR_Data[[#This Row],[Age]]&lt;30,"Under 30",IF(HR_Data[[#This Row],[Age]]&lt;=40,"30-40",IF(HR_Data[[#This Row],[Age]]&lt;=50,"41-50","50+")))</f>
        <v>41-50</v>
      </c>
      <c r="AK594" t="str">
        <f>IF(HR_Data[[#This Row],[MonthlyIncome]]&lt;4000,"Low",IF(HR_Data[[#This Row],[MonthlyIncome]]&lt;=7000,"Medium","High"))</f>
        <v>High</v>
      </c>
      <c r="AL594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595" spans="1:38" hidden="1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tr">
        <f>IF(HR_Data[[#This Row],[Age]]&lt;30,"Under 30",IF(HR_Data[[#This Row],[Age]]&lt;=40,"30-40",IF(HR_Data[[#This Row],[Age]]&lt;=50,"41-50","50+")))</f>
        <v>30-40</v>
      </c>
      <c r="AK595" t="str">
        <f>IF(HR_Data[[#This Row],[MonthlyIncome]]&lt;4000,"Low",IF(HR_Data[[#This Row],[MonthlyIncome]]&lt;=7000,"Medium","High"))</f>
        <v>Medium</v>
      </c>
      <c r="AL59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96" spans="1:38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tr">
        <f>IF(HR_Data[[#This Row],[Age]]&lt;30,"Under 30",IF(HR_Data[[#This Row],[Age]]&lt;=40,"30-40",IF(HR_Data[[#This Row],[Age]]&lt;=50,"41-50","50+")))</f>
        <v>Under 30</v>
      </c>
      <c r="AK596" t="str">
        <f>IF(HR_Data[[#This Row],[MonthlyIncome]]&lt;4000,"Low",IF(HR_Data[[#This Row],[MonthlyIncome]]&lt;=7000,"Medium","High"))</f>
        <v>Low</v>
      </c>
      <c r="AL59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597" spans="1:38" hidden="1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tr">
        <f>IF(HR_Data[[#This Row],[Age]]&lt;30,"Under 30",IF(HR_Data[[#This Row],[Age]]&lt;=40,"30-40",IF(HR_Data[[#This Row],[Age]]&lt;=50,"41-50","50+")))</f>
        <v>50+</v>
      </c>
      <c r="AK597" t="str">
        <f>IF(HR_Data[[#This Row],[MonthlyIncome]]&lt;4000,"Low",IF(HR_Data[[#This Row],[MonthlyIncome]]&lt;=7000,"Medium","High"))</f>
        <v>High</v>
      </c>
      <c r="AL597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598" spans="1:38" hidden="1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tr">
        <f>IF(HR_Data[[#This Row],[Age]]&lt;30,"Under 30",IF(HR_Data[[#This Row],[Age]]&lt;=40,"30-40",IF(HR_Data[[#This Row],[Age]]&lt;=50,"41-50","50+")))</f>
        <v>30-40</v>
      </c>
      <c r="AK598" t="str">
        <f>IF(HR_Data[[#This Row],[MonthlyIncome]]&lt;4000,"Low",IF(HR_Data[[#This Row],[MonthlyIncome]]&lt;=7000,"Medium","High"))</f>
        <v>Low</v>
      </c>
      <c r="AL59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599" spans="1:38" hidden="1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tr">
        <f>IF(HR_Data[[#This Row],[Age]]&lt;30,"Under 30",IF(HR_Data[[#This Row],[Age]]&lt;=40,"30-40",IF(HR_Data[[#This Row],[Age]]&lt;=50,"41-50","50+")))</f>
        <v>41-50</v>
      </c>
      <c r="AK599" t="str">
        <f>IF(HR_Data[[#This Row],[MonthlyIncome]]&lt;4000,"Low",IF(HR_Data[[#This Row],[MonthlyIncome]]&lt;=7000,"Medium","High"))</f>
        <v>Medium</v>
      </c>
      <c r="AL59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00" spans="1:38" hidden="1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tr">
        <f>IF(HR_Data[[#This Row],[Age]]&lt;30,"Under 30",IF(HR_Data[[#This Row],[Age]]&lt;=40,"30-40",IF(HR_Data[[#This Row],[Age]]&lt;=50,"41-50","50+")))</f>
        <v>Under 30</v>
      </c>
      <c r="AK600" t="str">
        <f>IF(HR_Data[[#This Row],[MonthlyIncome]]&lt;4000,"Low",IF(HR_Data[[#This Row],[MonthlyIncome]]&lt;=7000,"Medium","High"))</f>
        <v>Medium</v>
      </c>
      <c r="AL60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01" spans="1:38" hidden="1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tr">
        <f>IF(HR_Data[[#This Row],[Age]]&lt;30,"Under 30",IF(HR_Data[[#This Row],[Age]]&lt;=40,"30-40",IF(HR_Data[[#This Row],[Age]]&lt;=50,"41-50","50+")))</f>
        <v>30-40</v>
      </c>
      <c r="AK601" t="str">
        <f>IF(HR_Data[[#This Row],[MonthlyIncome]]&lt;4000,"Low",IF(HR_Data[[#This Row],[MonthlyIncome]]&lt;=7000,"Medium","High"))</f>
        <v>Low</v>
      </c>
      <c r="AL60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02" spans="1:38" hidden="1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tr">
        <f>IF(HR_Data[[#This Row],[Age]]&lt;30,"Under 30",IF(HR_Data[[#This Row],[Age]]&lt;=40,"30-40",IF(HR_Data[[#This Row],[Age]]&lt;=50,"41-50","50+")))</f>
        <v>30-40</v>
      </c>
      <c r="AK602" t="str">
        <f>IF(HR_Data[[#This Row],[MonthlyIncome]]&lt;4000,"Low",IF(HR_Data[[#This Row],[MonthlyIncome]]&lt;=7000,"Medium","High"))</f>
        <v>Medium</v>
      </c>
      <c r="AL602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603" spans="1:38" hidden="1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tr">
        <f>IF(HR_Data[[#This Row],[Age]]&lt;30,"Under 30",IF(HR_Data[[#This Row],[Age]]&lt;=40,"30-40",IF(HR_Data[[#This Row],[Age]]&lt;=50,"41-50","50+")))</f>
        <v>30-40</v>
      </c>
      <c r="AK603" t="str">
        <f>IF(HR_Data[[#This Row],[MonthlyIncome]]&lt;4000,"Low",IF(HR_Data[[#This Row],[MonthlyIncome]]&lt;=7000,"Medium","High"))</f>
        <v>Medium</v>
      </c>
      <c r="AL603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604" spans="1:38" hidden="1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tr">
        <f>IF(HR_Data[[#This Row],[Age]]&lt;30,"Under 30",IF(HR_Data[[#This Row],[Age]]&lt;=40,"30-40",IF(HR_Data[[#This Row],[Age]]&lt;=50,"41-50","50+")))</f>
        <v>30-40</v>
      </c>
      <c r="AK604" t="str">
        <f>IF(HR_Data[[#This Row],[MonthlyIncome]]&lt;4000,"Low",IF(HR_Data[[#This Row],[MonthlyIncome]]&lt;=7000,"Medium","High"))</f>
        <v>Medium</v>
      </c>
      <c r="AL604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605" spans="1:38" hidden="1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tr">
        <f>IF(HR_Data[[#This Row],[Age]]&lt;30,"Under 30",IF(HR_Data[[#This Row],[Age]]&lt;=40,"30-40",IF(HR_Data[[#This Row],[Age]]&lt;=50,"41-50","50+")))</f>
        <v>41-50</v>
      </c>
      <c r="AK605" t="str">
        <f>IF(HR_Data[[#This Row],[MonthlyIncome]]&lt;4000,"Low",IF(HR_Data[[#This Row],[MonthlyIncome]]&lt;=7000,"Medium","High"))</f>
        <v>Low</v>
      </c>
      <c r="AL605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606" spans="1:38" hidden="1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tr">
        <f>IF(HR_Data[[#This Row],[Age]]&lt;30,"Under 30",IF(HR_Data[[#This Row],[Age]]&lt;=40,"30-40",IF(HR_Data[[#This Row],[Age]]&lt;=50,"41-50","50+")))</f>
        <v>41-50</v>
      </c>
      <c r="AK606" t="str">
        <f>IF(HR_Data[[#This Row],[MonthlyIncome]]&lt;4000,"Low",IF(HR_Data[[#This Row],[MonthlyIncome]]&lt;=7000,"Medium","High"))</f>
        <v>Medium</v>
      </c>
      <c r="AL60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607" spans="1:38" hidden="1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tr">
        <f>IF(HR_Data[[#This Row],[Age]]&lt;30,"Under 30",IF(HR_Data[[#This Row],[Age]]&lt;=40,"30-40",IF(HR_Data[[#This Row],[Age]]&lt;=50,"41-50","50+")))</f>
        <v>30-40</v>
      </c>
      <c r="AK607" t="str">
        <f>IF(HR_Data[[#This Row],[MonthlyIncome]]&lt;4000,"Low",IF(HR_Data[[#This Row],[MonthlyIncome]]&lt;=7000,"Medium","High"))</f>
        <v>Medium</v>
      </c>
      <c r="AL60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08" spans="1:38" hidden="1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tr">
        <f>IF(HR_Data[[#This Row],[Age]]&lt;30,"Under 30",IF(HR_Data[[#This Row],[Age]]&lt;=40,"30-40",IF(HR_Data[[#This Row],[Age]]&lt;=50,"41-50","50+")))</f>
        <v>30-40</v>
      </c>
      <c r="AK608" t="str">
        <f>IF(HR_Data[[#This Row],[MonthlyIncome]]&lt;4000,"Low",IF(HR_Data[[#This Row],[MonthlyIncome]]&lt;=7000,"Medium","High"))</f>
        <v>Low</v>
      </c>
      <c r="AL60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09" spans="1:38" hidden="1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tr">
        <f>IF(HR_Data[[#This Row],[Age]]&lt;30,"Under 30",IF(HR_Data[[#This Row],[Age]]&lt;=40,"30-40",IF(HR_Data[[#This Row],[Age]]&lt;=50,"41-50","50+")))</f>
        <v>41-50</v>
      </c>
      <c r="AK609" t="str">
        <f>IF(HR_Data[[#This Row],[MonthlyIncome]]&lt;4000,"Low",IF(HR_Data[[#This Row],[MonthlyIncome]]&lt;=7000,"Medium","High"))</f>
        <v>High</v>
      </c>
      <c r="AL609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610" spans="1:38" hidden="1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tr">
        <f>IF(HR_Data[[#This Row],[Age]]&lt;30,"Under 30",IF(HR_Data[[#This Row],[Age]]&lt;=40,"30-40",IF(HR_Data[[#This Row],[Age]]&lt;=50,"41-50","50+")))</f>
        <v>50+</v>
      </c>
      <c r="AK610" t="str">
        <f>IF(HR_Data[[#This Row],[MonthlyIncome]]&lt;4000,"Low",IF(HR_Data[[#This Row],[MonthlyIncome]]&lt;=7000,"Medium","High"))</f>
        <v>Medium</v>
      </c>
      <c r="AL61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611" spans="1:38" hidden="1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tr">
        <f>IF(HR_Data[[#This Row],[Age]]&lt;30,"Under 30",IF(HR_Data[[#This Row],[Age]]&lt;=40,"30-40",IF(HR_Data[[#This Row],[Age]]&lt;=50,"41-50","50+")))</f>
        <v>41-50</v>
      </c>
      <c r="AK611" t="str">
        <f>IF(HR_Data[[#This Row],[MonthlyIncome]]&lt;4000,"Low",IF(HR_Data[[#This Row],[MonthlyIncome]]&lt;=7000,"Medium","High"))</f>
        <v>High</v>
      </c>
      <c r="AL61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12" spans="1:38" hidden="1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tr">
        <f>IF(HR_Data[[#This Row],[Age]]&lt;30,"Under 30",IF(HR_Data[[#This Row],[Age]]&lt;=40,"30-40",IF(HR_Data[[#This Row],[Age]]&lt;=50,"41-50","50+")))</f>
        <v>Under 30</v>
      </c>
      <c r="AK612" t="str">
        <f>IF(HR_Data[[#This Row],[MonthlyIncome]]&lt;4000,"Low",IF(HR_Data[[#This Row],[MonthlyIncome]]&lt;=7000,"Medium","High"))</f>
        <v>High</v>
      </c>
      <c r="AL61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613" spans="1:38" hidden="1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tr">
        <f>IF(HR_Data[[#This Row],[Age]]&lt;30,"Under 30",IF(HR_Data[[#This Row],[Age]]&lt;=40,"30-40",IF(HR_Data[[#This Row],[Age]]&lt;=50,"41-50","50+")))</f>
        <v>30-40</v>
      </c>
      <c r="AK613" t="str">
        <f>IF(HR_Data[[#This Row],[MonthlyIncome]]&lt;4000,"Low",IF(HR_Data[[#This Row],[MonthlyIncome]]&lt;=7000,"Medium","High"))</f>
        <v>High</v>
      </c>
      <c r="AL61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614" spans="1:38" hidden="1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tr">
        <f>IF(HR_Data[[#This Row],[Age]]&lt;30,"Under 30",IF(HR_Data[[#This Row],[Age]]&lt;=40,"30-40",IF(HR_Data[[#This Row],[Age]]&lt;=50,"41-50","50+")))</f>
        <v>Under 30</v>
      </c>
      <c r="AK614" t="str">
        <f>IF(HR_Data[[#This Row],[MonthlyIncome]]&lt;4000,"Low",IF(HR_Data[[#This Row],[MonthlyIncome]]&lt;=7000,"Medium","High"))</f>
        <v>Medium</v>
      </c>
      <c r="AL61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615" spans="1:38" hidden="1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tr">
        <f>IF(HR_Data[[#This Row],[Age]]&lt;30,"Under 30",IF(HR_Data[[#This Row],[Age]]&lt;=40,"30-40",IF(HR_Data[[#This Row],[Age]]&lt;=50,"41-50","50+")))</f>
        <v>30-40</v>
      </c>
      <c r="AK615" t="str">
        <f>IF(HR_Data[[#This Row],[MonthlyIncome]]&lt;4000,"Low",IF(HR_Data[[#This Row],[MonthlyIncome]]&lt;=7000,"Medium","High"))</f>
        <v>Low</v>
      </c>
      <c r="AL61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16" spans="1:38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tr">
        <f>IF(HR_Data[[#This Row],[Age]]&lt;30,"Under 30",IF(HR_Data[[#This Row],[Age]]&lt;=40,"30-40",IF(HR_Data[[#This Row],[Age]]&lt;=50,"41-50","50+")))</f>
        <v>Under 30</v>
      </c>
      <c r="AK616" t="str">
        <f>IF(HR_Data[[#This Row],[MonthlyIncome]]&lt;4000,"Low",IF(HR_Data[[#This Row],[MonthlyIncome]]&lt;=7000,"Medium","High"))</f>
        <v>Low</v>
      </c>
      <c r="AL61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617" spans="1:38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tr">
        <f>IF(HR_Data[[#This Row],[Age]]&lt;30,"Under 30",IF(HR_Data[[#This Row],[Age]]&lt;=40,"30-40",IF(HR_Data[[#This Row],[Age]]&lt;=50,"41-50","50+")))</f>
        <v>Under 30</v>
      </c>
      <c r="AK617" t="str">
        <f>IF(HR_Data[[#This Row],[MonthlyIncome]]&lt;4000,"Low",IF(HR_Data[[#This Row],[MonthlyIncome]]&lt;=7000,"Medium","High"))</f>
        <v>Low</v>
      </c>
      <c r="AL617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618" spans="1:38" hidden="1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tr">
        <f>IF(HR_Data[[#This Row],[Age]]&lt;30,"Under 30",IF(HR_Data[[#This Row],[Age]]&lt;=40,"30-40",IF(HR_Data[[#This Row],[Age]]&lt;=50,"41-50","50+")))</f>
        <v>50+</v>
      </c>
      <c r="AK618" t="str">
        <f>IF(HR_Data[[#This Row],[MonthlyIncome]]&lt;4000,"Low",IF(HR_Data[[#This Row],[MonthlyIncome]]&lt;=7000,"Medium","High"))</f>
        <v>High</v>
      </c>
      <c r="AL618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619" spans="1:38" hidden="1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tr">
        <f>IF(HR_Data[[#This Row],[Age]]&lt;30,"Under 30",IF(HR_Data[[#This Row],[Age]]&lt;=40,"30-40",IF(HR_Data[[#This Row],[Age]]&lt;=50,"41-50","50+")))</f>
        <v>41-50</v>
      </c>
      <c r="AK619" t="str">
        <f>IF(HR_Data[[#This Row],[MonthlyIncome]]&lt;4000,"Low",IF(HR_Data[[#This Row],[MonthlyIncome]]&lt;=7000,"Medium","High"))</f>
        <v>Medium</v>
      </c>
      <c r="AL61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20" spans="1:38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tr">
        <f>IF(HR_Data[[#This Row],[Age]]&lt;30,"Under 30",IF(HR_Data[[#This Row],[Age]]&lt;=40,"30-40",IF(HR_Data[[#This Row],[Age]]&lt;=50,"41-50","50+")))</f>
        <v>Under 30</v>
      </c>
      <c r="AK620" t="str">
        <f>IF(HR_Data[[#This Row],[MonthlyIncome]]&lt;4000,"Low",IF(HR_Data[[#This Row],[MonthlyIncome]]&lt;=7000,"Medium","High"))</f>
        <v>Low</v>
      </c>
      <c r="AL62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21" spans="1:38" hidden="1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tr">
        <f>IF(HR_Data[[#This Row],[Age]]&lt;30,"Under 30",IF(HR_Data[[#This Row],[Age]]&lt;=40,"30-40",IF(HR_Data[[#This Row],[Age]]&lt;=50,"41-50","50+")))</f>
        <v>30-40</v>
      </c>
      <c r="AK621" t="str">
        <f>IF(HR_Data[[#This Row],[MonthlyIncome]]&lt;4000,"Low",IF(HR_Data[[#This Row],[MonthlyIncome]]&lt;=7000,"Medium","High"))</f>
        <v>Medium</v>
      </c>
      <c r="AL62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622" spans="1:38" hidden="1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tr">
        <f>IF(HR_Data[[#This Row],[Age]]&lt;30,"Under 30",IF(HR_Data[[#This Row],[Age]]&lt;=40,"30-40",IF(HR_Data[[#This Row],[Age]]&lt;=50,"41-50","50+")))</f>
        <v>30-40</v>
      </c>
      <c r="AK622" t="str">
        <f>IF(HR_Data[[#This Row],[MonthlyIncome]]&lt;4000,"Low",IF(HR_Data[[#This Row],[MonthlyIncome]]&lt;=7000,"Medium","High"))</f>
        <v>Low</v>
      </c>
      <c r="AL62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623" spans="1:38" hidden="1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tr">
        <f>IF(HR_Data[[#This Row],[Age]]&lt;30,"Under 30",IF(HR_Data[[#This Row],[Age]]&lt;=40,"30-40",IF(HR_Data[[#This Row],[Age]]&lt;=50,"41-50","50+")))</f>
        <v>30-40</v>
      </c>
      <c r="AK623" t="str">
        <f>IF(HR_Data[[#This Row],[MonthlyIncome]]&lt;4000,"Low",IF(HR_Data[[#This Row],[MonthlyIncome]]&lt;=7000,"Medium","High"))</f>
        <v>Medium</v>
      </c>
      <c r="AL623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624" spans="1:38" hidden="1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tr">
        <f>IF(HR_Data[[#This Row],[Age]]&lt;30,"Under 30",IF(HR_Data[[#This Row],[Age]]&lt;=40,"30-40",IF(HR_Data[[#This Row],[Age]]&lt;=50,"41-50","50+")))</f>
        <v>30-40</v>
      </c>
      <c r="AK624" t="str">
        <f>IF(HR_Data[[#This Row],[MonthlyIncome]]&lt;4000,"Low",IF(HR_Data[[#This Row],[MonthlyIncome]]&lt;=7000,"Medium","High"))</f>
        <v>Medium</v>
      </c>
      <c r="AL62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25" spans="1:38" hidden="1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tr">
        <f>IF(HR_Data[[#This Row],[Age]]&lt;30,"Under 30",IF(HR_Data[[#This Row],[Age]]&lt;=40,"30-40",IF(HR_Data[[#This Row],[Age]]&lt;=50,"41-50","50+")))</f>
        <v>30-40</v>
      </c>
      <c r="AK625" t="str">
        <f>IF(HR_Data[[#This Row],[MonthlyIncome]]&lt;4000,"Low",IF(HR_Data[[#This Row],[MonthlyIncome]]&lt;=7000,"Medium","High"))</f>
        <v>Low</v>
      </c>
      <c r="AL62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26" spans="1:38" hidden="1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tr">
        <f>IF(HR_Data[[#This Row],[Age]]&lt;30,"Under 30",IF(HR_Data[[#This Row],[Age]]&lt;=40,"30-40",IF(HR_Data[[#This Row],[Age]]&lt;=50,"41-50","50+")))</f>
        <v>50+</v>
      </c>
      <c r="AK626" t="str">
        <f>IF(HR_Data[[#This Row],[MonthlyIncome]]&lt;4000,"Low",IF(HR_Data[[#This Row],[MonthlyIncome]]&lt;=7000,"Medium","High"))</f>
        <v>High</v>
      </c>
      <c r="AL62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27" spans="1:38" hidden="1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tr">
        <f>IF(HR_Data[[#This Row],[Age]]&lt;30,"Under 30",IF(HR_Data[[#This Row],[Age]]&lt;=40,"30-40",IF(HR_Data[[#This Row],[Age]]&lt;=50,"41-50","50+")))</f>
        <v>41-50</v>
      </c>
      <c r="AK627" t="str">
        <f>IF(HR_Data[[#This Row],[MonthlyIncome]]&lt;4000,"Low",IF(HR_Data[[#This Row],[MonthlyIncome]]&lt;=7000,"Medium","High"))</f>
        <v>High</v>
      </c>
      <c r="AL62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28" spans="1:38" hidden="1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tr">
        <f>IF(HR_Data[[#This Row],[Age]]&lt;30,"Under 30",IF(HR_Data[[#This Row],[Age]]&lt;=40,"30-40",IF(HR_Data[[#This Row],[Age]]&lt;=50,"41-50","50+")))</f>
        <v>30-40</v>
      </c>
      <c r="AK628" t="str">
        <f>IF(HR_Data[[#This Row],[MonthlyIncome]]&lt;4000,"Low",IF(HR_Data[[#This Row],[MonthlyIncome]]&lt;=7000,"Medium","High"))</f>
        <v>Medium</v>
      </c>
      <c r="AL62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29" spans="1:38" hidden="1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tr">
        <f>IF(HR_Data[[#This Row],[Age]]&lt;30,"Under 30",IF(HR_Data[[#This Row],[Age]]&lt;=40,"30-40",IF(HR_Data[[#This Row],[Age]]&lt;=50,"41-50","50+")))</f>
        <v>50+</v>
      </c>
      <c r="AK629" t="str">
        <f>IF(HR_Data[[#This Row],[MonthlyIncome]]&lt;4000,"Low",IF(HR_Data[[#This Row],[MonthlyIncome]]&lt;=7000,"Medium","High"))</f>
        <v>High</v>
      </c>
      <c r="AL629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630" spans="1:38" hidden="1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tr">
        <f>IF(HR_Data[[#This Row],[Age]]&lt;30,"Under 30",IF(HR_Data[[#This Row],[Age]]&lt;=40,"30-40",IF(HR_Data[[#This Row],[Age]]&lt;=50,"41-50","50+")))</f>
        <v>30-40</v>
      </c>
      <c r="AK630" t="str">
        <f>IF(HR_Data[[#This Row],[MonthlyIncome]]&lt;4000,"Low",IF(HR_Data[[#This Row],[MonthlyIncome]]&lt;=7000,"Medium","High"))</f>
        <v>Medium</v>
      </c>
      <c r="AL630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631" spans="1:38" hidden="1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tr">
        <f>IF(HR_Data[[#This Row],[Age]]&lt;30,"Under 30",IF(HR_Data[[#This Row],[Age]]&lt;=40,"30-40",IF(HR_Data[[#This Row],[Age]]&lt;=50,"41-50","50+")))</f>
        <v>Under 30</v>
      </c>
      <c r="AK631" t="str">
        <f>IF(HR_Data[[#This Row],[MonthlyIncome]]&lt;4000,"Low",IF(HR_Data[[#This Row],[MonthlyIncome]]&lt;=7000,"Medium","High"))</f>
        <v>Medium</v>
      </c>
      <c r="AL63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32" spans="1:38" hidden="1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tr">
        <f>IF(HR_Data[[#This Row],[Age]]&lt;30,"Under 30",IF(HR_Data[[#This Row],[Age]]&lt;=40,"30-40",IF(HR_Data[[#This Row],[Age]]&lt;=50,"41-50","50+")))</f>
        <v>Under 30</v>
      </c>
      <c r="AK632" t="str">
        <f>IF(HR_Data[[#This Row],[MonthlyIncome]]&lt;4000,"Low",IF(HR_Data[[#This Row],[MonthlyIncome]]&lt;=7000,"Medium","High"))</f>
        <v>Medium</v>
      </c>
      <c r="AL63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33" spans="1:38" hidden="1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tr">
        <f>IF(HR_Data[[#This Row],[Age]]&lt;30,"Under 30",IF(HR_Data[[#This Row],[Age]]&lt;=40,"30-40",IF(HR_Data[[#This Row],[Age]]&lt;=50,"41-50","50+")))</f>
        <v>41-50</v>
      </c>
      <c r="AK633" t="str">
        <f>IF(HR_Data[[#This Row],[MonthlyIncome]]&lt;4000,"Low",IF(HR_Data[[#This Row],[MonthlyIncome]]&lt;=7000,"Medium","High"))</f>
        <v>Low</v>
      </c>
      <c r="AL63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34" spans="1:38" hidden="1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tr">
        <f>IF(HR_Data[[#This Row],[Age]]&lt;30,"Under 30",IF(HR_Data[[#This Row],[Age]]&lt;=40,"30-40",IF(HR_Data[[#This Row],[Age]]&lt;=50,"41-50","50+")))</f>
        <v>41-50</v>
      </c>
      <c r="AK634" t="str">
        <f>IF(HR_Data[[#This Row],[MonthlyIncome]]&lt;4000,"Low",IF(HR_Data[[#This Row],[MonthlyIncome]]&lt;=7000,"Medium","High"))</f>
        <v>Low</v>
      </c>
      <c r="AL63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35" spans="1:38" hidden="1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tr">
        <f>IF(HR_Data[[#This Row],[Age]]&lt;30,"Under 30",IF(HR_Data[[#This Row],[Age]]&lt;=40,"30-40",IF(HR_Data[[#This Row],[Age]]&lt;=50,"41-50","50+")))</f>
        <v>30-40</v>
      </c>
      <c r="AK635" t="str">
        <f>IF(HR_Data[[#This Row],[MonthlyIncome]]&lt;4000,"Low",IF(HR_Data[[#This Row],[MonthlyIncome]]&lt;=7000,"Medium","High"))</f>
        <v>Low</v>
      </c>
      <c r="AL63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36" spans="1:38" hidden="1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tr">
        <f>IF(HR_Data[[#This Row],[Age]]&lt;30,"Under 30",IF(HR_Data[[#This Row],[Age]]&lt;=40,"30-40",IF(HR_Data[[#This Row],[Age]]&lt;=50,"41-50","50+")))</f>
        <v>Under 30</v>
      </c>
      <c r="AK636" t="str">
        <f>IF(HR_Data[[#This Row],[MonthlyIncome]]&lt;4000,"Low",IF(HR_Data[[#This Row],[MonthlyIncome]]&lt;=7000,"Medium","High"))</f>
        <v>Medium</v>
      </c>
      <c r="AL63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37" spans="1:38" hidden="1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tr">
        <f>IF(HR_Data[[#This Row],[Age]]&lt;30,"Under 30",IF(HR_Data[[#This Row],[Age]]&lt;=40,"30-40",IF(HR_Data[[#This Row],[Age]]&lt;=50,"41-50","50+")))</f>
        <v>30-40</v>
      </c>
      <c r="AK637" t="str">
        <f>IF(HR_Data[[#This Row],[MonthlyIncome]]&lt;4000,"Low",IF(HR_Data[[#This Row],[MonthlyIncome]]&lt;=7000,"Medium","High"))</f>
        <v>High</v>
      </c>
      <c r="AL637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638" spans="1:38" hidden="1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tr">
        <f>IF(HR_Data[[#This Row],[Age]]&lt;30,"Under 30",IF(HR_Data[[#This Row],[Age]]&lt;=40,"30-40",IF(HR_Data[[#This Row],[Age]]&lt;=50,"41-50","50+")))</f>
        <v>30-40</v>
      </c>
      <c r="AK638" t="str">
        <f>IF(HR_Data[[#This Row],[MonthlyIncome]]&lt;4000,"Low",IF(HR_Data[[#This Row],[MonthlyIncome]]&lt;=7000,"Medium","High"))</f>
        <v>Low</v>
      </c>
      <c r="AL63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639" spans="1:38" hidden="1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tr">
        <f>IF(HR_Data[[#This Row],[Age]]&lt;30,"Under 30",IF(HR_Data[[#This Row],[Age]]&lt;=40,"30-40",IF(HR_Data[[#This Row],[Age]]&lt;=50,"41-50","50+")))</f>
        <v>30-40</v>
      </c>
      <c r="AK639" t="str">
        <f>IF(HR_Data[[#This Row],[MonthlyIncome]]&lt;4000,"Low",IF(HR_Data[[#This Row],[MonthlyIncome]]&lt;=7000,"Medium","High"))</f>
        <v>Low</v>
      </c>
      <c r="AL63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40" spans="1:38" hidden="1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tr">
        <f>IF(HR_Data[[#This Row],[Age]]&lt;30,"Under 30",IF(HR_Data[[#This Row],[Age]]&lt;=40,"30-40",IF(HR_Data[[#This Row],[Age]]&lt;=50,"41-50","50+")))</f>
        <v>Under 30</v>
      </c>
      <c r="AK640" t="str">
        <f>IF(HR_Data[[#This Row],[MonthlyIncome]]&lt;4000,"Low",IF(HR_Data[[#This Row],[MonthlyIncome]]&lt;=7000,"Medium","High"))</f>
        <v>Medium</v>
      </c>
      <c r="AL64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41" spans="1:38" hidden="1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tr">
        <f>IF(HR_Data[[#This Row],[Age]]&lt;30,"Under 30",IF(HR_Data[[#This Row],[Age]]&lt;=40,"30-40",IF(HR_Data[[#This Row],[Age]]&lt;=50,"41-50","50+")))</f>
        <v>41-50</v>
      </c>
      <c r="AK641" t="str">
        <f>IF(HR_Data[[#This Row],[MonthlyIncome]]&lt;4000,"Low",IF(HR_Data[[#This Row],[MonthlyIncome]]&lt;=7000,"Medium","High"))</f>
        <v>Low</v>
      </c>
      <c r="AL64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42" spans="1:38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tr">
        <f>IF(HR_Data[[#This Row],[Age]]&lt;30,"Under 30",IF(HR_Data[[#This Row],[Age]]&lt;=40,"30-40",IF(HR_Data[[#This Row],[Age]]&lt;=50,"41-50","50+")))</f>
        <v>Under 30</v>
      </c>
      <c r="AK642" t="str">
        <f>IF(HR_Data[[#This Row],[MonthlyIncome]]&lt;4000,"Low",IF(HR_Data[[#This Row],[MonthlyIncome]]&lt;=7000,"Medium","High"))</f>
        <v>Low</v>
      </c>
      <c r="AL64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43" spans="1:38" hidden="1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tr">
        <f>IF(HR_Data[[#This Row],[Age]]&lt;30,"Under 30",IF(HR_Data[[#This Row],[Age]]&lt;=40,"30-40",IF(HR_Data[[#This Row],[Age]]&lt;=50,"41-50","50+")))</f>
        <v>30-40</v>
      </c>
      <c r="AK643" t="str">
        <f>IF(HR_Data[[#This Row],[MonthlyIncome]]&lt;4000,"Low",IF(HR_Data[[#This Row],[MonthlyIncome]]&lt;=7000,"Medium","High"))</f>
        <v>Medium</v>
      </c>
      <c r="AL64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644" spans="1:38" hidden="1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tr">
        <f>IF(HR_Data[[#This Row],[Age]]&lt;30,"Under 30",IF(HR_Data[[#This Row],[Age]]&lt;=40,"30-40",IF(HR_Data[[#This Row],[Age]]&lt;=50,"41-50","50+")))</f>
        <v>30-40</v>
      </c>
      <c r="AK644" t="str">
        <f>IF(HR_Data[[#This Row],[MonthlyIncome]]&lt;4000,"Low",IF(HR_Data[[#This Row],[MonthlyIncome]]&lt;=7000,"Medium","High"))</f>
        <v>Low</v>
      </c>
      <c r="AL64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45" spans="1:38" hidden="1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tr">
        <f>IF(HR_Data[[#This Row],[Age]]&lt;30,"Under 30",IF(HR_Data[[#This Row],[Age]]&lt;=40,"30-40",IF(HR_Data[[#This Row],[Age]]&lt;=50,"41-50","50+")))</f>
        <v>41-50</v>
      </c>
      <c r="AK645" t="str">
        <f>IF(HR_Data[[#This Row],[MonthlyIncome]]&lt;4000,"Low",IF(HR_Data[[#This Row],[MonthlyIncome]]&lt;=7000,"Medium","High"))</f>
        <v>Medium</v>
      </c>
      <c r="AL64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46" spans="1:38" hidden="1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tr">
        <f>IF(HR_Data[[#This Row],[Age]]&lt;30,"Under 30",IF(HR_Data[[#This Row],[Age]]&lt;=40,"30-40",IF(HR_Data[[#This Row],[Age]]&lt;=50,"41-50","50+")))</f>
        <v>30-40</v>
      </c>
      <c r="AK646" t="str">
        <f>IF(HR_Data[[#This Row],[MonthlyIncome]]&lt;4000,"Low",IF(HR_Data[[#This Row],[MonthlyIncome]]&lt;=7000,"Medium","High"))</f>
        <v>Low</v>
      </c>
      <c r="AL64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647" spans="1:38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tr">
        <f>IF(HR_Data[[#This Row],[Age]]&lt;30,"Under 30",IF(HR_Data[[#This Row],[Age]]&lt;=40,"30-40",IF(HR_Data[[#This Row],[Age]]&lt;=50,"41-50","50+")))</f>
        <v>Under 30</v>
      </c>
      <c r="AK647" t="str">
        <f>IF(HR_Data[[#This Row],[MonthlyIncome]]&lt;4000,"Low",IF(HR_Data[[#This Row],[MonthlyIncome]]&lt;=7000,"Medium","High"))</f>
        <v>Low</v>
      </c>
      <c r="AL64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48" spans="1:38" hidden="1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tr">
        <f>IF(HR_Data[[#This Row],[Age]]&lt;30,"Under 30",IF(HR_Data[[#This Row],[Age]]&lt;=40,"30-40",IF(HR_Data[[#This Row],[Age]]&lt;=50,"41-50","50+")))</f>
        <v>50+</v>
      </c>
      <c r="AK648" t="str">
        <f>IF(HR_Data[[#This Row],[MonthlyIncome]]&lt;4000,"Low",IF(HR_Data[[#This Row],[MonthlyIncome]]&lt;=7000,"Medium","High"))</f>
        <v>High</v>
      </c>
      <c r="AL64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49" spans="1:38" hidden="1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tr">
        <f>IF(HR_Data[[#This Row],[Age]]&lt;30,"Under 30",IF(HR_Data[[#This Row],[Age]]&lt;=40,"30-40",IF(HR_Data[[#This Row],[Age]]&lt;=50,"41-50","50+")))</f>
        <v>30-40</v>
      </c>
      <c r="AK649" t="str">
        <f>IF(HR_Data[[#This Row],[MonthlyIncome]]&lt;4000,"Low",IF(HR_Data[[#This Row],[MonthlyIncome]]&lt;=7000,"Medium","High"))</f>
        <v>High</v>
      </c>
      <c r="AL649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650" spans="1:38" hidden="1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tr">
        <f>IF(HR_Data[[#This Row],[Age]]&lt;30,"Under 30",IF(HR_Data[[#This Row],[Age]]&lt;=40,"30-40",IF(HR_Data[[#This Row],[Age]]&lt;=50,"41-50","50+")))</f>
        <v>30-40</v>
      </c>
      <c r="AK650" t="str">
        <f>IF(HR_Data[[#This Row],[MonthlyIncome]]&lt;4000,"Low",IF(HR_Data[[#This Row],[MonthlyIncome]]&lt;=7000,"Medium","High"))</f>
        <v>Low</v>
      </c>
      <c r="AL65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51" spans="1:38" hidden="1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tr">
        <f>IF(HR_Data[[#This Row],[Age]]&lt;30,"Under 30",IF(HR_Data[[#This Row],[Age]]&lt;=40,"30-40",IF(HR_Data[[#This Row],[Age]]&lt;=50,"41-50","50+")))</f>
        <v>50+</v>
      </c>
      <c r="AK651" t="str">
        <f>IF(HR_Data[[#This Row],[MonthlyIncome]]&lt;4000,"Low",IF(HR_Data[[#This Row],[MonthlyIncome]]&lt;=7000,"Medium","High"))</f>
        <v>High</v>
      </c>
      <c r="AL651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652" spans="1:38" hidden="1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tr">
        <f>IF(HR_Data[[#This Row],[Age]]&lt;30,"Under 30",IF(HR_Data[[#This Row],[Age]]&lt;=40,"30-40",IF(HR_Data[[#This Row],[Age]]&lt;=50,"41-50","50+")))</f>
        <v>41-50</v>
      </c>
      <c r="AK652" t="str">
        <f>IF(HR_Data[[#This Row],[MonthlyIncome]]&lt;4000,"Low",IF(HR_Data[[#This Row],[MonthlyIncome]]&lt;=7000,"Medium","High"))</f>
        <v>Medium</v>
      </c>
      <c r="AL65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53" spans="1:38" hidden="1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tr">
        <f>IF(HR_Data[[#This Row],[Age]]&lt;30,"Under 30",IF(HR_Data[[#This Row],[Age]]&lt;=40,"30-40",IF(HR_Data[[#This Row],[Age]]&lt;=50,"41-50","50+")))</f>
        <v>41-50</v>
      </c>
      <c r="AK653" t="str">
        <f>IF(HR_Data[[#This Row],[MonthlyIncome]]&lt;4000,"Low",IF(HR_Data[[#This Row],[MonthlyIncome]]&lt;=7000,"Medium","High"))</f>
        <v>Medium</v>
      </c>
      <c r="AL65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654" spans="1:38" hidden="1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tr">
        <f>IF(HR_Data[[#This Row],[Age]]&lt;30,"Under 30",IF(HR_Data[[#This Row],[Age]]&lt;=40,"30-40",IF(HR_Data[[#This Row],[Age]]&lt;=50,"41-50","50+")))</f>
        <v>30-40</v>
      </c>
      <c r="AK654" t="str">
        <f>IF(HR_Data[[#This Row],[MonthlyIncome]]&lt;4000,"Low",IF(HR_Data[[#This Row],[MonthlyIncome]]&lt;=7000,"Medium","High"))</f>
        <v>High</v>
      </c>
      <c r="AL65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655" spans="1:38" hidden="1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tr">
        <f>IF(HR_Data[[#This Row],[Age]]&lt;30,"Under 30",IF(HR_Data[[#This Row],[Age]]&lt;=40,"30-40",IF(HR_Data[[#This Row],[Age]]&lt;=50,"41-50","50+")))</f>
        <v>41-50</v>
      </c>
      <c r="AK655" t="str">
        <f>IF(HR_Data[[#This Row],[MonthlyIncome]]&lt;4000,"Low",IF(HR_Data[[#This Row],[MonthlyIncome]]&lt;=7000,"Medium","High"))</f>
        <v>High</v>
      </c>
      <c r="AL655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656" spans="1:38" hidden="1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tr">
        <f>IF(HR_Data[[#This Row],[Age]]&lt;30,"Under 30",IF(HR_Data[[#This Row],[Age]]&lt;=40,"30-40",IF(HR_Data[[#This Row],[Age]]&lt;=50,"41-50","50+")))</f>
        <v>30-40</v>
      </c>
      <c r="AK656" t="str">
        <f>IF(HR_Data[[#This Row],[MonthlyIncome]]&lt;4000,"Low",IF(HR_Data[[#This Row],[MonthlyIncome]]&lt;=7000,"Medium","High"))</f>
        <v>Medium</v>
      </c>
      <c r="AL65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57" spans="1:38" hidden="1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tr">
        <f>IF(HR_Data[[#This Row],[Age]]&lt;30,"Under 30",IF(HR_Data[[#This Row],[Age]]&lt;=40,"30-40",IF(HR_Data[[#This Row],[Age]]&lt;=50,"41-50","50+")))</f>
        <v>30-40</v>
      </c>
      <c r="AK657" t="str">
        <f>IF(HR_Data[[#This Row],[MonthlyIncome]]&lt;4000,"Low",IF(HR_Data[[#This Row],[MonthlyIncome]]&lt;=7000,"Medium","High"))</f>
        <v>Low</v>
      </c>
      <c r="AL65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58" spans="1:38" hidden="1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tr">
        <f>IF(HR_Data[[#This Row],[Age]]&lt;30,"Under 30",IF(HR_Data[[#This Row],[Age]]&lt;=40,"30-40",IF(HR_Data[[#This Row],[Age]]&lt;=50,"41-50","50+")))</f>
        <v>30-40</v>
      </c>
      <c r="AK658" t="str">
        <f>IF(HR_Data[[#This Row],[MonthlyIncome]]&lt;4000,"Low",IF(HR_Data[[#This Row],[MonthlyIncome]]&lt;=7000,"Medium","High"))</f>
        <v>Low</v>
      </c>
      <c r="AL658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659" spans="1:38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tr">
        <f>IF(HR_Data[[#This Row],[Age]]&lt;30,"Under 30",IF(HR_Data[[#This Row],[Age]]&lt;=40,"30-40",IF(HR_Data[[#This Row],[Age]]&lt;=50,"41-50","50+")))</f>
        <v>Under 30</v>
      </c>
      <c r="AK659" t="str">
        <f>IF(HR_Data[[#This Row],[MonthlyIncome]]&lt;4000,"Low",IF(HR_Data[[#This Row],[MonthlyIncome]]&lt;=7000,"Medium","High"))</f>
        <v>Low</v>
      </c>
      <c r="AL65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60" spans="1:38" hidden="1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tr">
        <f>IF(HR_Data[[#This Row],[Age]]&lt;30,"Under 30",IF(HR_Data[[#This Row],[Age]]&lt;=40,"30-40",IF(HR_Data[[#This Row],[Age]]&lt;=50,"41-50","50+")))</f>
        <v>41-50</v>
      </c>
      <c r="AK660" t="str">
        <f>IF(HR_Data[[#This Row],[MonthlyIncome]]&lt;4000,"Low",IF(HR_Data[[#This Row],[MonthlyIncome]]&lt;=7000,"Medium","High"))</f>
        <v>Low</v>
      </c>
      <c r="AL66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661" spans="1:38" hidden="1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tr">
        <f>IF(HR_Data[[#This Row],[Age]]&lt;30,"Under 30",IF(HR_Data[[#This Row],[Age]]&lt;=40,"30-40",IF(HR_Data[[#This Row],[Age]]&lt;=50,"41-50","50+")))</f>
        <v>Under 30</v>
      </c>
      <c r="AK661" t="str">
        <f>IF(HR_Data[[#This Row],[MonthlyIncome]]&lt;4000,"Low",IF(HR_Data[[#This Row],[MonthlyIncome]]&lt;=7000,"Medium","High"))</f>
        <v>Medium</v>
      </c>
      <c r="AL66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62" spans="1:38" hidden="1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tr">
        <f>IF(HR_Data[[#This Row],[Age]]&lt;30,"Under 30",IF(HR_Data[[#This Row],[Age]]&lt;=40,"30-40",IF(HR_Data[[#This Row],[Age]]&lt;=50,"41-50","50+")))</f>
        <v>50+</v>
      </c>
      <c r="AK662" t="str">
        <f>IF(HR_Data[[#This Row],[MonthlyIncome]]&lt;4000,"Low",IF(HR_Data[[#This Row],[MonthlyIncome]]&lt;=7000,"Medium","High"))</f>
        <v>Low</v>
      </c>
      <c r="AL662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663" spans="1:38" hidden="1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tr">
        <f>IF(HR_Data[[#This Row],[Age]]&lt;30,"Under 30",IF(HR_Data[[#This Row],[Age]]&lt;=40,"30-40",IF(HR_Data[[#This Row],[Age]]&lt;=50,"41-50","50+")))</f>
        <v>41-50</v>
      </c>
      <c r="AK663" t="str">
        <f>IF(HR_Data[[#This Row],[MonthlyIncome]]&lt;4000,"Low",IF(HR_Data[[#This Row],[MonthlyIncome]]&lt;=7000,"Medium","High"))</f>
        <v>Medium</v>
      </c>
      <c r="AL663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664" spans="1:38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tr">
        <f>IF(HR_Data[[#This Row],[Age]]&lt;30,"Under 30",IF(HR_Data[[#This Row],[Age]]&lt;=40,"30-40",IF(HR_Data[[#This Row],[Age]]&lt;=50,"41-50","50+")))</f>
        <v>Under 30</v>
      </c>
      <c r="AK664" t="str">
        <f>IF(HR_Data[[#This Row],[MonthlyIncome]]&lt;4000,"Low",IF(HR_Data[[#This Row],[MonthlyIncome]]&lt;=7000,"Medium","High"))</f>
        <v>Low</v>
      </c>
      <c r="AL66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65" spans="1:38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tr">
        <f>IF(HR_Data[[#This Row],[Age]]&lt;30,"Under 30",IF(HR_Data[[#This Row],[Age]]&lt;=40,"30-40",IF(HR_Data[[#This Row],[Age]]&lt;=50,"41-50","50+")))</f>
        <v>Under 30</v>
      </c>
      <c r="AK665" t="str">
        <f>IF(HR_Data[[#This Row],[MonthlyIncome]]&lt;4000,"Low",IF(HR_Data[[#This Row],[MonthlyIncome]]&lt;=7000,"Medium","High"))</f>
        <v>Low</v>
      </c>
      <c r="AL665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666" spans="1:38" hidden="1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tr">
        <f>IF(HR_Data[[#This Row],[Age]]&lt;30,"Under 30",IF(HR_Data[[#This Row],[Age]]&lt;=40,"30-40",IF(HR_Data[[#This Row],[Age]]&lt;=50,"41-50","50+")))</f>
        <v>30-40</v>
      </c>
      <c r="AK666" t="str">
        <f>IF(HR_Data[[#This Row],[MonthlyIncome]]&lt;4000,"Low",IF(HR_Data[[#This Row],[MonthlyIncome]]&lt;=7000,"Medium","High"))</f>
        <v>Medium</v>
      </c>
      <c r="AL666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667" spans="1:38" hidden="1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tr">
        <f>IF(HR_Data[[#This Row],[Age]]&lt;30,"Under 30",IF(HR_Data[[#This Row],[Age]]&lt;=40,"30-40",IF(HR_Data[[#This Row],[Age]]&lt;=50,"41-50","50+")))</f>
        <v>41-50</v>
      </c>
      <c r="AK667" t="str">
        <f>IF(HR_Data[[#This Row],[MonthlyIncome]]&lt;4000,"Low",IF(HR_Data[[#This Row],[MonthlyIncome]]&lt;=7000,"Medium","High"))</f>
        <v>Low</v>
      </c>
      <c r="AL66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68" spans="1:38" hidden="1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tr">
        <f>IF(HR_Data[[#This Row],[Age]]&lt;30,"Under 30",IF(HR_Data[[#This Row],[Age]]&lt;=40,"30-40",IF(HR_Data[[#This Row],[Age]]&lt;=50,"41-50","50+")))</f>
        <v>Under 30</v>
      </c>
      <c r="AK668" t="str">
        <f>IF(HR_Data[[#This Row],[MonthlyIncome]]&lt;4000,"Low",IF(HR_Data[[#This Row],[MonthlyIncome]]&lt;=7000,"Medium","High"))</f>
        <v>Medium</v>
      </c>
      <c r="AL66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69" spans="1:38" hidden="1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tr">
        <f>IF(HR_Data[[#This Row],[Age]]&lt;30,"Under 30",IF(HR_Data[[#This Row],[Age]]&lt;=40,"30-40",IF(HR_Data[[#This Row],[Age]]&lt;=50,"41-50","50+")))</f>
        <v>41-50</v>
      </c>
      <c r="AK669" t="str">
        <f>IF(HR_Data[[#This Row],[MonthlyIncome]]&lt;4000,"Low",IF(HR_Data[[#This Row],[MonthlyIncome]]&lt;=7000,"Medium","High"))</f>
        <v>Low</v>
      </c>
      <c r="AL669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670" spans="1:38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tr">
        <f>IF(HR_Data[[#This Row],[Age]]&lt;30,"Under 30",IF(HR_Data[[#This Row],[Age]]&lt;=40,"30-40",IF(HR_Data[[#This Row],[Age]]&lt;=50,"41-50","50+")))</f>
        <v>Under 30</v>
      </c>
      <c r="AK670" t="str">
        <f>IF(HR_Data[[#This Row],[MonthlyIncome]]&lt;4000,"Low",IF(HR_Data[[#This Row],[MonthlyIncome]]&lt;=7000,"Medium","High"))</f>
        <v>Low</v>
      </c>
      <c r="AL67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71" spans="1:38" hidden="1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tr">
        <f>IF(HR_Data[[#This Row],[Age]]&lt;30,"Under 30",IF(HR_Data[[#This Row],[Age]]&lt;=40,"30-40",IF(HR_Data[[#This Row],[Age]]&lt;=50,"41-50","50+")))</f>
        <v>30-40</v>
      </c>
      <c r="AK671" t="str">
        <f>IF(HR_Data[[#This Row],[MonthlyIncome]]&lt;4000,"Low",IF(HR_Data[[#This Row],[MonthlyIncome]]&lt;=7000,"Medium","High"))</f>
        <v>Low</v>
      </c>
      <c r="AL67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72" spans="1:38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tr">
        <f>IF(HR_Data[[#This Row],[Age]]&lt;30,"Under 30",IF(HR_Data[[#This Row],[Age]]&lt;=40,"30-40",IF(HR_Data[[#This Row],[Age]]&lt;=50,"41-50","50+")))</f>
        <v>Under 30</v>
      </c>
      <c r="AK672" t="str">
        <f>IF(HR_Data[[#This Row],[MonthlyIncome]]&lt;4000,"Low",IF(HR_Data[[#This Row],[MonthlyIncome]]&lt;=7000,"Medium","High"))</f>
        <v>Low</v>
      </c>
      <c r="AL672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673" spans="1:38" hidden="1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tr">
        <f>IF(HR_Data[[#This Row],[Age]]&lt;30,"Under 30",IF(HR_Data[[#This Row],[Age]]&lt;=40,"30-40",IF(HR_Data[[#This Row],[Age]]&lt;=50,"41-50","50+")))</f>
        <v>30-40</v>
      </c>
      <c r="AK673" t="str">
        <f>IF(HR_Data[[#This Row],[MonthlyIncome]]&lt;4000,"Low",IF(HR_Data[[#This Row],[MonthlyIncome]]&lt;=7000,"Medium","High"))</f>
        <v>Low</v>
      </c>
      <c r="AL673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674" spans="1:38" hidden="1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tr">
        <f>IF(HR_Data[[#This Row],[Age]]&lt;30,"Under 30",IF(HR_Data[[#This Row],[Age]]&lt;=40,"30-40",IF(HR_Data[[#This Row],[Age]]&lt;=50,"41-50","50+")))</f>
        <v>41-50</v>
      </c>
      <c r="AK674" t="str">
        <f>IF(HR_Data[[#This Row],[MonthlyIncome]]&lt;4000,"Low",IF(HR_Data[[#This Row],[MonthlyIncome]]&lt;=7000,"Medium","High"))</f>
        <v>Medium</v>
      </c>
      <c r="AL67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75" spans="1:38" hidden="1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tr">
        <f>IF(HR_Data[[#This Row],[Age]]&lt;30,"Under 30",IF(HR_Data[[#This Row],[Age]]&lt;=40,"30-40",IF(HR_Data[[#This Row],[Age]]&lt;=50,"41-50","50+")))</f>
        <v>30-40</v>
      </c>
      <c r="AK675" t="str">
        <f>IF(HR_Data[[#This Row],[MonthlyIncome]]&lt;4000,"Low",IF(HR_Data[[#This Row],[MonthlyIncome]]&lt;=7000,"Medium","High"))</f>
        <v>Low</v>
      </c>
      <c r="AL67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76" spans="1:38" hidden="1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tr">
        <f>IF(HR_Data[[#This Row],[Age]]&lt;30,"Under 30",IF(HR_Data[[#This Row],[Age]]&lt;=40,"30-40",IF(HR_Data[[#This Row],[Age]]&lt;=50,"41-50","50+")))</f>
        <v>50+</v>
      </c>
      <c r="AK676" t="str">
        <f>IF(HR_Data[[#This Row],[MonthlyIncome]]&lt;4000,"Low",IF(HR_Data[[#This Row],[MonthlyIncome]]&lt;=7000,"Medium","High"))</f>
        <v>High</v>
      </c>
      <c r="AL67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677" spans="1:38" hidden="1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tr">
        <f>IF(HR_Data[[#This Row],[Age]]&lt;30,"Under 30",IF(HR_Data[[#This Row],[Age]]&lt;=40,"30-40",IF(HR_Data[[#This Row],[Age]]&lt;=50,"41-50","50+")))</f>
        <v>30-40</v>
      </c>
      <c r="AK677" t="str">
        <f>IF(HR_Data[[#This Row],[MonthlyIncome]]&lt;4000,"Low",IF(HR_Data[[#This Row],[MonthlyIncome]]&lt;=7000,"Medium","High"))</f>
        <v>Low</v>
      </c>
      <c r="AL67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678" spans="1:38" hidden="1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tr">
        <f>IF(HR_Data[[#This Row],[Age]]&lt;30,"Under 30",IF(HR_Data[[#This Row],[Age]]&lt;=40,"30-40",IF(HR_Data[[#This Row],[Age]]&lt;=50,"41-50","50+")))</f>
        <v>30-40</v>
      </c>
      <c r="AK678" t="str">
        <f>IF(HR_Data[[#This Row],[MonthlyIncome]]&lt;4000,"Low",IF(HR_Data[[#This Row],[MonthlyIncome]]&lt;=7000,"Medium","High"))</f>
        <v>Medium</v>
      </c>
      <c r="AL67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679" spans="1:38" hidden="1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tr">
        <f>IF(HR_Data[[#This Row],[Age]]&lt;30,"Under 30",IF(HR_Data[[#This Row],[Age]]&lt;=40,"30-40",IF(HR_Data[[#This Row],[Age]]&lt;=50,"41-50","50+")))</f>
        <v>41-50</v>
      </c>
      <c r="AK679" t="str">
        <f>IF(HR_Data[[#This Row],[MonthlyIncome]]&lt;4000,"Low",IF(HR_Data[[#This Row],[MonthlyIncome]]&lt;=7000,"Medium","High"))</f>
        <v>High</v>
      </c>
      <c r="AL679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680" spans="1:38" hidden="1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tr">
        <f>IF(HR_Data[[#This Row],[Age]]&lt;30,"Under 30",IF(HR_Data[[#This Row],[Age]]&lt;=40,"30-40",IF(HR_Data[[#This Row],[Age]]&lt;=50,"41-50","50+")))</f>
        <v>41-50</v>
      </c>
      <c r="AK680" t="str">
        <f>IF(HR_Data[[#This Row],[MonthlyIncome]]&lt;4000,"Low",IF(HR_Data[[#This Row],[MonthlyIncome]]&lt;=7000,"Medium","High"))</f>
        <v>Low</v>
      </c>
      <c r="AL680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681" spans="1:38" hidden="1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tr">
        <f>IF(HR_Data[[#This Row],[Age]]&lt;30,"Under 30",IF(HR_Data[[#This Row],[Age]]&lt;=40,"30-40",IF(HR_Data[[#This Row],[Age]]&lt;=50,"41-50","50+")))</f>
        <v>30-40</v>
      </c>
      <c r="AK681" t="str">
        <f>IF(HR_Data[[#This Row],[MonthlyIncome]]&lt;4000,"Low",IF(HR_Data[[#This Row],[MonthlyIncome]]&lt;=7000,"Medium","High"))</f>
        <v>Medium</v>
      </c>
      <c r="AL68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682" spans="1:38" hidden="1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tr">
        <f>IF(HR_Data[[#This Row],[Age]]&lt;30,"Under 30",IF(HR_Data[[#This Row],[Age]]&lt;=40,"30-40",IF(HR_Data[[#This Row],[Age]]&lt;=50,"41-50","50+")))</f>
        <v>30-40</v>
      </c>
      <c r="AK682" t="str">
        <f>IF(HR_Data[[#This Row],[MonthlyIncome]]&lt;4000,"Low",IF(HR_Data[[#This Row],[MonthlyIncome]]&lt;=7000,"Medium","High"))</f>
        <v>Medium</v>
      </c>
      <c r="AL68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683" spans="1:38" hidden="1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tr">
        <f>IF(HR_Data[[#This Row],[Age]]&lt;30,"Under 30",IF(HR_Data[[#This Row],[Age]]&lt;=40,"30-40",IF(HR_Data[[#This Row],[Age]]&lt;=50,"41-50","50+")))</f>
        <v>30-40</v>
      </c>
      <c r="AK683" t="str">
        <f>IF(HR_Data[[#This Row],[MonthlyIncome]]&lt;4000,"Low",IF(HR_Data[[#This Row],[MonthlyIncome]]&lt;=7000,"Medium","High"))</f>
        <v>High</v>
      </c>
      <c r="AL683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684" spans="1:38" hidden="1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tr">
        <f>IF(HR_Data[[#This Row],[Age]]&lt;30,"Under 30",IF(HR_Data[[#This Row],[Age]]&lt;=40,"30-40",IF(HR_Data[[#This Row],[Age]]&lt;=50,"41-50","50+")))</f>
        <v>30-40</v>
      </c>
      <c r="AK684" t="str">
        <f>IF(HR_Data[[#This Row],[MonthlyIncome]]&lt;4000,"Low",IF(HR_Data[[#This Row],[MonthlyIncome]]&lt;=7000,"Medium","High"))</f>
        <v>Low</v>
      </c>
      <c r="AL68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85" spans="1:38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tr">
        <f>IF(HR_Data[[#This Row],[Age]]&lt;30,"Under 30",IF(HR_Data[[#This Row],[Age]]&lt;=40,"30-40",IF(HR_Data[[#This Row],[Age]]&lt;=50,"41-50","50+")))</f>
        <v>Under 30</v>
      </c>
      <c r="AK685" t="str">
        <f>IF(HR_Data[[#This Row],[MonthlyIncome]]&lt;4000,"Low",IF(HR_Data[[#This Row],[MonthlyIncome]]&lt;=7000,"Medium","High"))</f>
        <v>Low</v>
      </c>
      <c r="AL685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686" spans="1:38" hidden="1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tr">
        <f>IF(HR_Data[[#This Row],[Age]]&lt;30,"Under 30",IF(HR_Data[[#This Row],[Age]]&lt;=40,"30-40",IF(HR_Data[[#This Row],[Age]]&lt;=50,"41-50","50+")))</f>
        <v>30-40</v>
      </c>
      <c r="AK686" t="str">
        <f>IF(HR_Data[[#This Row],[MonthlyIncome]]&lt;4000,"Low",IF(HR_Data[[#This Row],[MonthlyIncome]]&lt;=7000,"Medium","High"))</f>
        <v>High</v>
      </c>
      <c r="AL686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687" spans="1:38" hidden="1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tr">
        <f>IF(HR_Data[[#This Row],[Age]]&lt;30,"Under 30",IF(HR_Data[[#This Row],[Age]]&lt;=40,"30-40",IF(HR_Data[[#This Row],[Age]]&lt;=50,"41-50","50+")))</f>
        <v>Under 30</v>
      </c>
      <c r="AK687" t="str">
        <f>IF(HR_Data[[#This Row],[MonthlyIncome]]&lt;4000,"Low",IF(HR_Data[[#This Row],[MonthlyIncome]]&lt;=7000,"Medium","High"))</f>
        <v>Medium</v>
      </c>
      <c r="AL68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688" spans="1:38" hidden="1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tr">
        <f>IF(HR_Data[[#This Row],[Age]]&lt;30,"Under 30",IF(HR_Data[[#This Row],[Age]]&lt;=40,"30-40",IF(HR_Data[[#This Row],[Age]]&lt;=50,"41-50","50+")))</f>
        <v>41-50</v>
      </c>
      <c r="AK688" t="str">
        <f>IF(HR_Data[[#This Row],[MonthlyIncome]]&lt;4000,"Low",IF(HR_Data[[#This Row],[MonthlyIncome]]&lt;=7000,"Medium","High"))</f>
        <v>Medium</v>
      </c>
      <c r="AL688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689" spans="1:38" hidden="1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tr">
        <f>IF(HR_Data[[#This Row],[Age]]&lt;30,"Under 30",IF(HR_Data[[#This Row],[Age]]&lt;=40,"30-40",IF(HR_Data[[#This Row],[Age]]&lt;=50,"41-50","50+")))</f>
        <v>30-40</v>
      </c>
      <c r="AK689" t="str">
        <f>IF(HR_Data[[#This Row],[MonthlyIncome]]&lt;4000,"Low",IF(HR_Data[[#This Row],[MonthlyIncome]]&lt;=7000,"Medium","High"))</f>
        <v>Low</v>
      </c>
      <c r="AL689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690" spans="1:38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tr">
        <f>IF(HR_Data[[#This Row],[Age]]&lt;30,"Under 30",IF(HR_Data[[#This Row],[Age]]&lt;=40,"30-40",IF(HR_Data[[#This Row],[Age]]&lt;=50,"41-50","50+")))</f>
        <v>Under 30</v>
      </c>
      <c r="AK690" t="str">
        <f>IF(HR_Data[[#This Row],[MonthlyIncome]]&lt;4000,"Low",IF(HR_Data[[#This Row],[MonthlyIncome]]&lt;=7000,"Medium","High"))</f>
        <v>Low</v>
      </c>
      <c r="AL690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691" spans="1:38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tr">
        <f>IF(HR_Data[[#This Row],[Age]]&lt;30,"Under 30",IF(HR_Data[[#This Row],[Age]]&lt;=40,"30-40",IF(HR_Data[[#This Row],[Age]]&lt;=50,"41-50","50+")))</f>
        <v>Under 30</v>
      </c>
      <c r="AK691" t="str">
        <f>IF(HR_Data[[#This Row],[MonthlyIncome]]&lt;4000,"Low",IF(HR_Data[[#This Row],[MonthlyIncome]]&lt;=7000,"Medium","High"))</f>
        <v>Low</v>
      </c>
      <c r="AL691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692" spans="1:38" hidden="1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tr">
        <f>IF(HR_Data[[#This Row],[Age]]&lt;30,"Under 30",IF(HR_Data[[#This Row],[Age]]&lt;=40,"30-40",IF(HR_Data[[#This Row],[Age]]&lt;=50,"41-50","50+")))</f>
        <v>30-40</v>
      </c>
      <c r="AK692" t="str">
        <f>IF(HR_Data[[#This Row],[MonthlyIncome]]&lt;4000,"Low",IF(HR_Data[[#This Row],[MonthlyIncome]]&lt;=7000,"Medium","High"))</f>
        <v>Medium</v>
      </c>
      <c r="AL69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693" spans="1:38" hidden="1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tr">
        <f>IF(HR_Data[[#This Row],[Age]]&lt;30,"Under 30",IF(HR_Data[[#This Row],[Age]]&lt;=40,"30-40",IF(HR_Data[[#This Row],[Age]]&lt;=50,"41-50","50+")))</f>
        <v>30-40</v>
      </c>
      <c r="AK693" t="str">
        <f>IF(HR_Data[[#This Row],[MonthlyIncome]]&lt;4000,"Low",IF(HR_Data[[#This Row],[MonthlyIncome]]&lt;=7000,"Medium","High"))</f>
        <v>Low</v>
      </c>
      <c r="AL693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694" spans="1:38" hidden="1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tr">
        <f>IF(HR_Data[[#This Row],[Age]]&lt;30,"Under 30",IF(HR_Data[[#This Row],[Age]]&lt;=40,"30-40",IF(HR_Data[[#This Row],[Age]]&lt;=50,"41-50","50+")))</f>
        <v>30-40</v>
      </c>
      <c r="AK694" t="str">
        <f>IF(HR_Data[[#This Row],[MonthlyIncome]]&lt;4000,"Low",IF(HR_Data[[#This Row],[MonthlyIncome]]&lt;=7000,"Medium","High"))</f>
        <v>Medium</v>
      </c>
      <c r="AL69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695" spans="1:38" hidden="1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tr">
        <f>IF(HR_Data[[#This Row],[Age]]&lt;30,"Under 30",IF(HR_Data[[#This Row],[Age]]&lt;=40,"30-40",IF(HR_Data[[#This Row],[Age]]&lt;=50,"41-50","50+")))</f>
        <v>30-40</v>
      </c>
      <c r="AK695" t="str">
        <f>IF(HR_Data[[#This Row],[MonthlyIncome]]&lt;4000,"Low",IF(HR_Data[[#This Row],[MonthlyIncome]]&lt;=7000,"Medium","High"))</f>
        <v>High</v>
      </c>
      <c r="AL695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696" spans="1:38" hidden="1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tr">
        <f>IF(HR_Data[[#This Row],[Age]]&lt;30,"Under 30",IF(HR_Data[[#This Row],[Age]]&lt;=40,"30-40",IF(HR_Data[[#This Row],[Age]]&lt;=50,"41-50","50+")))</f>
        <v>30-40</v>
      </c>
      <c r="AK696" t="str">
        <f>IF(HR_Data[[#This Row],[MonthlyIncome]]&lt;4000,"Low",IF(HR_Data[[#This Row],[MonthlyIncome]]&lt;=7000,"Medium","High"))</f>
        <v>Medium</v>
      </c>
      <c r="AL69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697" spans="1:38" hidden="1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tr">
        <f>IF(HR_Data[[#This Row],[Age]]&lt;30,"Under 30",IF(HR_Data[[#This Row],[Age]]&lt;=40,"30-40",IF(HR_Data[[#This Row],[Age]]&lt;=50,"41-50","50+")))</f>
        <v>30-40</v>
      </c>
      <c r="AK697" t="str">
        <f>IF(HR_Data[[#This Row],[MonthlyIncome]]&lt;4000,"Low",IF(HR_Data[[#This Row],[MonthlyIncome]]&lt;=7000,"Medium","High"))</f>
        <v>High</v>
      </c>
      <c r="AL697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698" spans="1:38" hidden="1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tr">
        <f>IF(HR_Data[[#This Row],[Age]]&lt;30,"Under 30",IF(HR_Data[[#This Row],[Age]]&lt;=40,"30-40",IF(HR_Data[[#This Row],[Age]]&lt;=50,"41-50","50+")))</f>
        <v>41-50</v>
      </c>
      <c r="AK698" t="str">
        <f>IF(HR_Data[[#This Row],[MonthlyIncome]]&lt;4000,"Low",IF(HR_Data[[#This Row],[MonthlyIncome]]&lt;=7000,"Medium","High"))</f>
        <v>Medium</v>
      </c>
      <c r="AL69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699" spans="1:38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tr">
        <f>IF(HR_Data[[#This Row],[Age]]&lt;30,"Under 30",IF(HR_Data[[#This Row],[Age]]&lt;=40,"30-40",IF(HR_Data[[#This Row],[Age]]&lt;=50,"41-50","50+")))</f>
        <v>Under 30</v>
      </c>
      <c r="AK699" t="str">
        <f>IF(HR_Data[[#This Row],[MonthlyIncome]]&lt;4000,"Low",IF(HR_Data[[#This Row],[MonthlyIncome]]&lt;=7000,"Medium","High"))</f>
        <v>Low</v>
      </c>
      <c r="AL69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00" spans="1:38" hidden="1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tr">
        <f>IF(HR_Data[[#This Row],[Age]]&lt;30,"Under 30",IF(HR_Data[[#This Row],[Age]]&lt;=40,"30-40",IF(HR_Data[[#This Row],[Age]]&lt;=50,"41-50","50+")))</f>
        <v>30-40</v>
      </c>
      <c r="AK700" t="str">
        <f>IF(HR_Data[[#This Row],[MonthlyIncome]]&lt;4000,"Low",IF(HR_Data[[#This Row],[MonthlyIncome]]&lt;=7000,"Medium","High"))</f>
        <v>Medium</v>
      </c>
      <c r="AL70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01" spans="1:38" hidden="1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tr">
        <f>IF(HR_Data[[#This Row],[Age]]&lt;30,"Under 30",IF(HR_Data[[#This Row],[Age]]&lt;=40,"30-40",IF(HR_Data[[#This Row],[Age]]&lt;=50,"41-50","50+")))</f>
        <v>50+</v>
      </c>
      <c r="AK701" t="str">
        <f>IF(HR_Data[[#This Row],[MonthlyIncome]]&lt;4000,"Low",IF(HR_Data[[#This Row],[MonthlyIncome]]&lt;=7000,"Medium","High"))</f>
        <v>High</v>
      </c>
      <c r="AL70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702" spans="1:38" hidden="1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tr">
        <f>IF(HR_Data[[#This Row],[Age]]&lt;30,"Under 30",IF(HR_Data[[#This Row],[Age]]&lt;=40,"30-40",IF(HR_Data[[#This Row],[Age]]&lt;=50,"41-50","50+")))</f>
        <v>50+</v>
      </c>
      <c r="AK702" t="str">
        <f>IF(HR_Data[[#This Row],[MonthlyIncome]]&lt;4000,"Low",IF(HR_Data[[#This Row],[MonthlyIncome]]&lt;=7000,"Medium","High"))</f>
        <v>Low</v>
      </c>
      <c r="AL702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703" spans="1:38" hidden="1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tr">
        <f>IF(HR_Data[[#This Row],[Age]]&lt;30,"Under 30",IF(HR_Data[[#This Row],[Age]]&lt;=40,"30-40",IF(HR_Data[[#This Row],[Age]]&lt;=50,"41-50","50+")))</f>
        <v>50+</v>
      </c>
      <c r="AK703" t="str">
        <f>IF(HR_Data[[#This Row],[MonthlyIncome]]&lt;4000,"Low",IF(HR_Data[[#This Row],[MonthlyIncome]]&lt;=7000,"Medium","High"))</f>
        <v>High</v>
      </c>
      <c r="AL703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704" spans="1:38" hidden="1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tr">
        <f>IF(HR_Data[[#This Row],[Age]]&lt;30,"Under 30",IF(HR_Data[[#This Row],[Age]]&lt;=40,"30-40",IF(HR_Data[[#This Row],[Age]]&lt;=50,"41-50","50+")))</f>
        <v>30-40</v>
      </c>
      <c r="AK704" t="str">
        <f>IF(HR_Data[[#This Row],[MonthlyIncome]]&lt;4000,"Low",IF(HR_Data[[#This Row],[MonthlyIncome]]&lt;=7000,"Medium","High"))</f>
        <v>High</v>
      </c>
      <c r="AL70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705" spans="1:38" hidden="1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tr">
        <f>IF(HR_Data[[#This Row],[Age]]&lt;30,"Under 30",IF(HR_Data[[#This Row],[Age]]&lt;=40,"30-40",IF(HR_Data[[#This Row],[Age]]&lt;=50,"41-50","50+")))</f>
        <v>30-40</v>
      </c>
      <c r="AK705" t="str">
        <f>IF(HR_Data[[#This Row],[MonthlyIncome]]&lt;4000,"Low",IF(HR_Data[[#This Row],[MonthlyIncome]]&lt;=7000,"Medium","High"))</f>
        <v>Medium</v>
      </c>
      <c r="AL70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06" spans="1:38" hidden="1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tr">
        <f>IF(HR_Data[[#This Row],[Age]]&lt;30,"Under 30",IF(HR_Data[[#This Row],[Age]]&lt;=40,"30-40",IF(HR_Data[[#This Row],[Age]]&lt;=50,"41-50","50+")))</f>
        <v>30-40</v>
      </c>
      <c r="AK706" t="str">
        <f>IF(HR_Data[[#This Row],[MonthlyIncome]]&lt;4000,"Low",IF(HR_Data[[#This Row],[MonthlyIncome]]&lt;=7000,"Medium","High"))</f>
        <v>High</v>
      </c>
      <c r="AL70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707" spans="1:38" hidden="1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tr">
        <f>IF(HR_Data[[#This Row],[Age]]&lt;30,"Under 30",IF(HR_Data[[#This Row],[Age]]&lt;=40,"30-40",IF(HR_Data[[#This Row],[Age]]&lt;=50,"41-50","50+")))</f>
        <v>30-40</v>
      </c>
      <c r="AK707" t="str">
        <f>IF(HR_Data[[#This Row],[MonthlyIncome]]&lt;4000,"Low",IF(HR_Data[[#This Row],[MonthlyIncome]]&lt;=7000,"Medium","High"))</f>
        <v>High</v>
      </c>
      <c r="AL70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708" spans="1:38" hidden="1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tr">
        <f>IF(HR_Data[[#This Row],[Age]]&lt;30,"Under 30",IF(HR_Data[[#This Row],[Age]]&lt;=40,"30-40",IF(HR_Data[[#This Row],[Age]]&lt;=50,"41-50","50+")))</f>
        <v>30-40</v>
      </c>
      <c r="AK708" t="str">
        <f>IF(HR_Data[[#This Row],[MonthlyIncome]]&lt;4000,"Low",IF(HR_Data[[#This Row],[MonthlyIncome]]&lt;=7000,"Medium","High"))</f>
        <v>High</v>
      </c>
      <c r="AL708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709" spans="1:38" hidden="1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tr">
        <f>IF(HR_Data[[#This Row],[Age]]&lt;30,"Under 30",IF(HR_Data[[#This Row],[Age]]&lt;=40,"30-40",IF(HR_Data[[#This Row],[Age]]&lt;=50,"41-50","50+")))</f>
        <v>41-50</v>
      </c>
      <c r="AK709" t="str">
        <f>IF(HR_Data[[#This Row],[MonthlyIncome]]&lt;4000,"Low",IF(HR_Data[[#This Row],[MonthlyIncome]]&lt;=7000,"Medium","High"))</f>
        <v>Medium</v>
      </c>
      <c r="AL709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710" spans="1:38" hidden="1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tr">
        <f>IF(HR_Data[[#This Row],[Age]]&lt;30,"Under 30",IF(HR_Data[[#This Row],[Age]]&lt;=40,"30-40",IF(HR_Data[[#This Row],[Age]]&lt;=50,"41-50","50+")))</f>
        <v>30-40</v>
      </c>
      <c r="AK710" t="str">
        <f>IF(HR_Data[[#This Row],[MonthlyIncome]]&lt;4000,"Low",IF(HR_Data[[#This Row],[MonthlyIncome]]&lt;=7000,"Medium","High"))</f>
        <v>Medium</v>
      </c>
      <c r="AL71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711" spans="1:38" hidden="1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tr">
        <f>IF(HR_Data[[#This Row],[Age]]&lt;30,"Under 30",IF(HR_Data[[#This Row],[Age]]&lt;=40,"30-40",IF(HR_Data[[#This Row],[Age]]&lt;=50,"41-50","50+")))</f>
        <v>30-40</v>
      </c>
      <c r="AK711" t="str">
        <f>IF(HR_Data[[#This Row],[MonthlyIncome]]&lt;4000,"Low",IF(HR_Data[[#This Row],[MonthlyIncome]]&lt;=7000,"Medium","High"))</f>
        <v>Low</v>
      </c>
      <c r="AL71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12" spans="1:38" hidden="1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tr">
        <f>IF(HR_Data[[#This Row],[Age]]&lt;30,"Under 30",IF(HR_Data[[#This Row],[Age]]&lt;=40,"30-40",IF(HR_Data[[#This Row],[Age]]&lt;=50,"41-50","50+")))</f>
        <v>30-40</v>
      </c>
      <c r="AK712" t="str">
        <f>IF(HR_Data[[#This Row],[MonthlyIncome]]&lt;4000,"Low",IF(HR_Data[[#This Row],[MonthlyIncome]]&lt;=7000,"Medium","High"))</f>
        <v>High</v>
      </c>
      <c r="AL71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713" spans="1:38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tr">
        <f>IF(HR_Data[[#This Row],[Age]]&lt;30,"Under 30",IF(HR_Data[[#This Row],[Age]]&lt;=40,"30-40",IF(HR_Data[[#This Row],[Age]]&lt;=50,"41-50","50+")))</f>
        <v>Under 30</v>
      </c>
      <c r="AK713" t="str">
        <f>IF(HR_Data[[#This Row],[MonthlyIncome]]&lt;4000,"Low",IF(HR_Data[[#This Row],[MonthlyIncome]]&lt;=7000,"Medium","High"))</f>
        <v>Low</v>
      </c>
      <c r="AL713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714" spans="1:38" hidden="1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tr">
        <f>IF(HR_Data[[#This Row],[Age]]&lt;30,"Under 30",IF(HR_Data[[#This Row],[Age]]&lt;=40,"30-40",IF(HR_Data[[#This Row],[Age]]&lt;=50,"41-50","50+")))</f>
        <v>30-40</v>
      </c>
      <c r="AK714" t="str">
        <f>IF(HR_Data[[#This Row],[MonthlyIncome]]&lt;4000,"Low",IF(HR_Data[[#This Row],[MonthlyIncome]]&lt;=7000,"Medium","High"))</f>
        <v>Low</v>
      </c>
      <c r="AL71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15" spans="1:38" hidden="1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tr">
        <f>IF(HR_Data[[#This Row],[Age]]&lt;30,"Under 30",IF(HR_Data[[#This Row],[Age]]&lt;=40,"30-40",IF(HR_Data[[#This Row],[Age]]&lt;=50,"41-50","50+")))</f>
        <v>41-50</v>
      </c>
      <c r="AK715" t="str">
        <f>IF(HR_Data[[#This Row],[MonthlyIncome]]&lt;4000,"Low",IF(HR_Data[[#This Row],[MonthlyIncome]]&lt;=7000,"Medium","High"))</f>
        <v>Low</v>
      </c>
      <c r="AL71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16" spans="1:38" hidden="1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tr">
        <f>IF(HR_Data[[#This Row],[Age]]&lt;30,"Under 30",IF(HR_Data[[#This Row],[Age]]&lt;=40,"30-40",IF(HR_Data[[#This Row],[Age]]&lt;=50,"41-50","50+")))</f>
        <v>41-50</v>
      </c>
      <c r="AK716" t="str">
        <f>IF(HR_Data[[#This Row],[MonthlyIncome]]&lt;4000,"Low",IF(HR_Data[[#This Row],[MonthlyIncome]]&lt;=7000,"Medium","High"))</f>
        <v>High</v>
      </c>
      <c r="AL71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17" spans="1:38" hidden="1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tr">
        <f>IF(HR_Data[[#This Row],[Age]]&lt;30,"Under 30",IF(HR_Data[[#This Row],[Age]]&lt;=40,"30-40",IF(HR_Data[[#This Row],[Age]]&lt;=50,"41-50","50+")))</f>
        <v>30-40</v>
      </c>
      <c r="AK717" t="str">
        <f>IF(HR_Data[[#This Row],[MonthlyIncome]]&lt;4000,"Low",IF(HR_Data[[#This Row],[MonthlyIncome]]&lt;=7000,"Medium","High"))</f>
        <v>Medium</v>
      </c>
      <c r="AL71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718" spans="1:38" hidden="1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tr">
        <f>IF(HR_Data[[#This Row],[Age]]&lt;30,"Under 30",IF(HR_Data[[#This Row],[Age]]&lt;=40,"30-40",IF(HR_Data[[#This Row],[Age]]&lt;=50,"41-50","50+")))</f>
        <v>41-50</v>
      </c>
      <c r="AK718" t="str">
        <f>IF(HR_Data[[#This Row],[MonthlyIncome]]&lt;4000,"Low",IF(HR_Data[[#This Row],[MonthlyIncome]]&lt;=7000,"Medium","High"))</f>
        <v>High</v>
      </c>
      <c r="AL718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719" spans="1:38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tr">
        <f>IF(HR_Data[[#This Row],[Age]]&lt;30,"Under 30",IF(HR_Data[[#This Row],[Age]]&lt;=40,"30-40",IF(HR_Data[[#This Row],[Age]]&lt;=50,"41-50","50+")))</f>
        <v>Under 30</v>
      </c>
      <c r="AK719" t="str">
        <f>IF(HR_Data[[#This Row],[MonthlyIncome]]&lt;4000,"Low",IF(HR_Data[[#This Row],[MonthlyIncome]]&lt;=7000,"Medium","High"))</f>
        <v>Low</v>
      </c>
      <c r="AL71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20" spans="1:38" hidden="1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tr">
        <f>IF(HR_Data[[#This Row],[Age]]&lt;30,"Under 30",IF(HR_Data[[#This Row],[Age]]&lt;=40,"30-40",IF(HR_Data[[#This Row],[Age]]&lt;=50,"41-50","50+")))</f>
        <v>41-50</v>
      </c>
      <c r="AK720" t="str">
        <f>IF(HR_Data[[#This Row],[MonthlyIncome]]&lt;4000,"Low",IF(HR_Data[[#This Row],[MonthlyIncome]]&lt;=7000,"Medium","High"))</f>
        <v>Low</v>
      </c>
      <c r="AL72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721" spans="1:38" hidden="1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tr">
        <f>IF(HR_Data[[#This Row],[Age]]&lt;30,"Under 30",IF(HR_Data[[#This Row],[Age]]&lt;=40,"30-40",IF(HR_Data[[#This Row],[Age]]&lt;=50,"41-50","50+")))</f>
        <v>41-50</v>
      </c>
      <c r="AK721" t="str">
        <f>IF(HR_Data[[#This Row],[MonthlyIncome]]&lt;4000,"Low",IF(HR_Data[[#This Row],[MonthlyIncome]]&lt;=7000,"Medium","High"))</f>
        <v>Medium</v>
      </c>
      <c r="AL72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722" spans="1:38" hidden="1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tr">
        <f>IF(HR_Data[[#This Row],[Age]]&lt;30,"Under 30",IF(HR_Data[[#This Row],[Age]]&lt;=40,"30-40",IF(HR_Data[[#This Row],[Age]]&lt;=50,"41-50","50+")))</f>
        <v>30-40</v>
      </c>
      <c r="AK722" t="str">
        <f>IF(HR_Data[[#This Row],[MonthlyIncome]]&lt;4000,"Low",IF(HR_Data[[#This Row],[MonthlyIncome]]&lt;=7000,"Medium","High"))</f>
        <v>Low</v>
      </c>
      <c r="AL72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23" spans="1:38" hidden="1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tr">
        <f>IF(HR_Data[[#This Row],[Age]]&lt;30,"Under 30",IF(HR_Data[[#This Row],[Age]]&lt;=40,"30-40",IF(HR_Data[[#This Row],[Age]]&lt;=50,"41-50","50+")))</f>
        <v>41-50</v>
      </c>
      <c r="AK723" t="str">
        <f>IF(HR_Data[[#This Row],[MonthlyIncome]]&lt;4000,"Low",IF(HR_Data[[#This Row],[MonthlyIncome]]&lt;=7000,"Medium","High"))</f>
        <v>High</v>
      </c>
      <c r="AL723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724" spans="1:38" hidden="1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tr">
        <f>IF(HR_Data[[#This Row],[Age]]&lt;30,"Under 30",IF(HR_Data[[#This Row],[Age]]&lt;=40,"30-40",IF(HR_Data[[#This Row],[Age]]&lt;=50,"41-50","50+")))</f>
        <v>30-40</v>
      </c>
      <c r="AK724" t="str">
        <f>IF(HR_Data[[#This Row],[MonthlyIncome]]&lt;4000,"Low",IF(HR_Data[[#This Row],[MonthlyIncome]]&lt;=7000,"Medium","High"))</f>
        <v>Low</v>
      </c>
      <c r="AL72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25" spans="1:38" hidden="1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tr">
        <f>IF(HR_Data[[#This Row],[Age]]&lt;30,"Under 30",IF(HR_Data[[#This Row],[Age]]&lt;=40,"30-40",IF(HR_Data[[#This Row],[Age]]&lt;=50,"41-50","50+")))</f>
        <v>41-50</v>
      </c>
      <c r="AK725" t="str">
        <f>IF(HR_Data[[#This Row],[MonthlyIncome]]&lt;4000,"Low",IF(HR_Data[[#This Row],[MonthlyIncome]]&lt;=7000,"Medium","High"))</f>
        <v>High</v>
      </c>
      <c r="AL72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726" spans="1:38" hidden="1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tr">
        <f>IF(HR_Data[[#This Row],[Age]]&lt;30,"Under 30",IF(HR_Data[[#This Row],[Age]]&lt;=40,"30-40",IF(HR_Data[[#This Row],[Age]]&lt;=50,"41-50","50+")))</f>
        <v>Under 30</v>
      </c>
      <c r="AK726" t="str">
        <f>IF(HR_Data[[#This Row],[MonthlyIncome]]&lt;4000,"Low",IF(HR_Data[[#This Row],[MonthlyIncome]]&lt;=7000,"Medium","High"))</f>
        <v>Medium</v>
      </c>
      <c r="AL72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27" spans="1:38" hidden="1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tr">
        <f>IF(HR_Data[[#This Row],[Age]]&lt;30,"Under 30",IF(HR_Data[[#This Row],[Age]]&lt;=40,"30-40",IF(HR_Data[[#This Row],[Age]]&lt;=50,"41-50","50+")))</f>
        <v>30-40</v>
      </c>
      <c r="AK727" t="str">
        <f>IF(HR_Data[[#This Row],[MonthlyIncome]]&lt;4000,"Low",IF(HR_Data[[#This Row],[MonthlyIncome]]&lt;=7000,"Medium","High"))</f>
        <v>Low</v>
      </c>
      <c r="AL72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28" spans="1:38" hidden="1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tr">
        <f>IF(HR_Data[[#This Row],[Age]]&lt;30,"Under 30",IF(HR_Data[[#This Row],[Age]]&lt;=40,"30-40",IF(HR_Data[[#This Row],[Age]]&lt;=50,"41-50","50+")))</f>
        <v>30-40</v>
      </c>
      <c r="AK728" t="str">
        <f>IF(HR_Data[[#This Row],[MonthlyIncome]]&lt;4000,"Low",IF(HR_Data[[#This Row],[MonthlyIncome]]&lt;=7000,"Medium","High"))</f>
        <v>Medium</v>
      </c>
      <c r="AL72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29" spans="1:38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t="str">
        <f>IF(HR_Data[[#This Row],[Age]]&lt;30,"Under 30",IF(HR_Data[[#This Row],[Age]]&lt;=40,"30-40",IF(HR_Data[[#This Row],[Age]]&lt;=50,"41-50","50+")))</f>
        <v>Under 30</v>
      </c>
      <c r="AK729" t="str">
        <f>IF(HR_Data[[#This Row],[MonthlyIncome]]&lt;4000,"Low",IF(HR_Data[[#This Row],[MonthlyIncome]]&lt;=7000,"Medium","High"))</f>
        <v>Low</v>
      </c>
      <c r="AL729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730" spans="1:38" hidden="1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tr">
        <f>IF(HR_Data[[#This Row],[Age]]&lt;30,"Under 30",IF(HR_Data[[#This Row],[Age]]&lt;=40,"30-40",IF(HR_Data[[#This Row],[Age]]&lt;=50,"41-50","50+")))</f>
        <v>50+</v>
      </c>
      <c r="AK730" t="str">
        <f>IF(HR_Data[[#This Row],[MonthlyIncome]]&lt;4000,"Low",IF(HR_Data[[#This Row],[MonthlyIncome]]&lt;=7000,"Medium","High"))</f>
        <v>High</v>
      </c>
      <c r="AL73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731" spans="1:38" hidden="1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tr">
        <f>IF(HR_Data[[#This Row],[Age]]&lt;30,"Under 30",IF(HR_Data[[#This Row],[Age]]&lt;=40,"30-40",IF(HR_Data[[#This Row],[Age]]&lt;=50,"41-50","50+")))</f>
        <v>30-40</v>
      </c>
      <c r="AK731" t="str">
        <f>IF(HR_Data[[#This Row],[MonthlyIncome]]&lt;4000,"Low",IF(HR_Data[[#This Row],[MonthlyIncome]]&lt;=7000,"Medium","High"))</f>
        <v>High</v>
      </c>
      <c r="AL731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732" spans="1:38" hidden="1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tr">
        <f>IF(HR_Data[[#This Row],[Age]]&lt;30,"Under 30",IF(HR_Data[[#This Row],[Age]]&lt;=40,"30-40",IF(HR_Data[[#This Row],[Age]]&lt;=50,"41-50","50+")))</f>
        <v>30-40</v>
      </c>
      <c r="AK732" t="str">
        <f>IF(HR_Data[[#This Row],[MonthlyIncome]]&lt;4000,"Low",IF(HR_Data[[#This Row],[MonthlyIncome]]&lt;=7000,"Medium","High"))</f>
        <v>High</v>
      </c>
      <c r="AL73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733" spans="1:38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tr">
        <f>IF(HR_Data[[#This Row],[Age]]&lt;30,"Under 30",IF(HR_Data[[#This Row],[Age]]&lt;=40,"30-40",IF(HR_Data[[#This Row],[Age]]&lt;=50,"41-50","50+")))</f>
        <v>Under 30</v>
      </c>
      <c r="AK733" t="str">
        <f>IF(HR_Data[[#This Row],[MonthlyIncome]]&lt;4000,"Low",IF(HR_Data[[#This Row],[MonthlyIncome]]&lt;=7000,"Medium","High"))</f>
        <v>Low</v>
      </c>
      <c r="AL733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734" spans="1:38" hidden="1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tr">
        <f>IF(HR_Data[[#This Row],[Age]]&lt;30,"Under 30",IF(HR_Data[[#This Row],[Age]]&lt;=40,"30-40",IF(HR_Data[[#This Row],[Age]]&lt;=50,"41-50","50+")))</f>
        <v>30-40</v>
      </c>
      <c r="AK734" t="str">
        <f>IF(HR_Data[[#This Row],[MonthlyIncome]]&lt;4000,"Low",IF(HR_Data[[#This Row],[MonthlyIncome]]&lt;=7000,"Medium","High"))</f>
        <v>Low</v>
      </c>
      <c r="AL73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35" spans="1:38" hidden="1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tr">
        <f>IF(HR_Data[[#This Row],[Age]]&lt;30,"Under 30",IF(HR_Data[[#This Row],[Age]]&lt;=40,"30-40",IF(HR_Data[[#This Row],[Age]]&lt;=50,"41-50","50+")))</f>
        <v>Under 30</v>
      </c>
      <c r="AK735" t="str">
        <f>IF(HR_Data[[#This Row],[MonthlyIncome]]&lt;4000,"Low",IF(HR_Data[[#This Row],[MonthlyIncome]]&lt;=7000,"Medium","High"))</f>
        <v>Medium</v>
      </c>
      <c r="AL73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736" spans="1:38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tr">
        <f>IF(HR_Data[[#This Row],[Age]]&lt;30,"Under 30",IF(HR_Data[[#This Row],[Age]]&lt;=40,"30-40",IF(HR_Data[[#This Row],[Age]]&lt;=50,"41-50","50+")))</f>
        <v>Under 30</v>
      </c>
      <c r="AK736" t="str">
        <f>IF(HR_Data[[#This Row],[MonthlyIncome]]&lt;4000,"Low",IF(HR_Data[[#This Row],[MonthlyIncome]]&lt;=7000,"Medium","High"))</f>
        <v>Low</v>
      </c>
      <c r="AL73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37" spans="1:38" hidden="1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tr">
        <f>IF(HR_Data[[#This Row],[Age]]&lt;30,"Under 30",IF(HR_Data[[#This Row],[Age]]&lt;=40,"30-40",IF(HR_Data[[#This Row],[Age]]&lt;=50,"41-50","50+")))</f>
        <v>41-50</v>
      </c>
      <c r="AK737" t="str">
        <f>IF(HR_Data[[#This Row],[MonthlyIncome]]&lt;4000,"Low",IF(HR_Data[[#This Row],[MonthlyIncome]]&lt;=7000,"Medium","High"))</f>
        <v>Medium</v>
      </c>
      <c r="AL73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38" spans="1:38" hidden="1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tr">
        <f>IF(HR_Data[[#This Row],[Age]]&lt;30,"Under 30",IF(HR_Data[[#This Row],[Age]]&lt;=40,"30-40",IF(HR_Data[[#This Row],[Age]]&lt;=50,"41-50","50+")))</f>
        <v>41-50</v>
      </c>
      <c r="AK738" t="str">
        <f>IF(HR_Data[[#This Row],[MonthlyIncome]]&lt;4000,"Low",IF(HR_Data[[#This Row],[MonthlyIncome]]&lt;=7000,"Medium","High"))</f>
        <v>High</v>
      </c>
      <c r="AL738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739" spans="1:38" hidden="1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tr">
        <f>IF(HR_Data[[#This Row],[Age]]&lt;30,"Under 30",IF(HR_Data[[#This Row],[Age]]&lt;=40,"30-40",IF(HR_Data[[#This Row],[Age]]&lt;=50,"41-50","50+")))</f>
        <v>41-50</v>
      </c>
      <c r="AK739" t="str">
        <f>IF(HR_Data[[#This Row],[MonthlyIncome]]&lt;4000,"Low",IF(HR_Data[[#This Row],[MonthlyIncome]]&lt;=7000,"Medium","High"))</f>
        <v>Medium</v>
      </c>
      <c r="AL73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40" spans="1:38" hidden="1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tr">
        <f>IF(HR_Data[[#This Row],[Age]]&lt;30,"Under 30",IF(HR_Data[[#This Row],[Age]]&lt;=40,"30-40",IF(HR_Data[[#This Row],[Age]]&lt;=50,"41-50","50+")))</f>
        <v>30-40</v>
      </c>
      <c r="AK740" t="str">
        <f>IF(HR_Data[[#This Row],[MonthlyIncome]]&lt;4000,"Low",IF(HR_Data[[#This Row],[MonthlyIncome]]&lt;=7000,"Medium","High"))</f>
        <v>High</v>
      </c>
      <c r="AL740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741" spans="1:38" hidden="1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tr">
        <f>IF(HR_Data[[#This Row],[Age]]&lt;30,"Under 30",IF(HR_Data[[#This Row],[Age]]&lt;=40,"30-40",IF(HR_Data[[#This Row],[Age]]&lt;=50,"41-50","50+")))</f>
        <v>Under 30</v>
      </c>
      <c r="AK741" t="str">
        <f>IF(HR_Data[[#This Row],[MonthlyIncome]]&lt;4000,"Low",IF(HR_Data[[#This Row],[MonthlyIncome]]&lt;=7000,"Medium","High"))</f>
        <v>Medium</v>
      </c>
      <c r="AL74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42" spans="1:38" hidden="1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tr">
        <f>IF(HR_Data[[#This Row],[Age]]&lt;30,"Under 30",IF(HR_Data[[#This Row],[Age]]&lt;=40,"30-40",IF(HR_Data[[#This Row],[Age]]&lt;=50,"41-50","50+")))</f>
        <v>30-40</v>
      </c>
      <c r="AK742" t="str">
        <f>IF(HR_Data[[#This Row],[MonthlyIncome]]&lt;4000,"Low",IF(HR_Data[[#This Row],[MonthlyIncome]]&lt;=7000,"Medium","High"))</f>
        <v>Low</v>
      </c>
      <c r="AL74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43" spans="1:38" hidden="1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tr">
        <f>IF(HR_Data[[#This Row],[Age]]&lt;30,"Under 30",IF(HR_Data[[#This Row],[Age]]&lt;=40,"30-40",IF(HR_Data[[#This Row],[Age]]&lt;=50,"41-50","50+")))</f>
        <v>41-50</v>
      </c>
      <c r="AK743" t="str">
        <f>IF(HR_Data[[#This Row],[MonthlyIncome]]&lt;4000,"Low",IF(HR_Data[[#This Row],[MonthlyIncome]]&lt;=7000,"Medium","High"))</f>
        <v>High</v>
      </c>
      <c r="AL743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744" spans="1:38" hidden="1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tr">
        <f>IF(HR_Data[[#This Row],[Age]]&lt;30,"Under 30",IF(HR_Data[[#This Row],[Age]]&lt;=40,"30-40",IF(HR_Data[[#This Row],[Age]]&lt;=50,"41-50","50+")))</f>
        <v>41-50</v>
      </c>
      <c r="AK744" t="str">
        <f>IF(HR_Data[[#This Row],[MonthlyIncome]]&lt;4000,"Low",IF(HR_Data[[#This Row],[MonthlyIncome]]&lt;=7000,"Medium","High"))</f>
        <v>Low</v>
      </c>
      <c r="AL744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745" spans="1:38" hidden="1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tr">
        <f>IF(HR_Data[[#This Row],[Age]]&lt;30,"Under 30",IF(HR_Data[[#This Row],[Age]]&lt;=40,"30-40",IF(HR_Data[[#This Row],[Age]]&lt;=50,"41-50","50+")))</f>
        <v>50+</v>
      </c>
      <c r="AK745" t="str">
        <f>IF(HR_Data[[#This Row],[MonthlyIncome]]&lt;4000,"Low",IF(HR_Data[[#This Row],[MonthlyIncome]]&lt;=7000,"Medium","High"))</f>
        <v>High</v>
      </c>
      <c r="AL74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46" spans="1:38" hidden="1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tr">
        <f>IF(HR_Data[[#This Row],[Age]]&lt;30,"Under 30",IF(HR_Data[[#This Row],[Age]]&lt;=40,"30-40",IF(HR_Data[[#This Row],[Age]]&lt;=50,"41-50","50+")))</f>
        <v>30-40</v>
      </c>
      <c r="AK746" t="str">
        <f>IF(HR_Data[[#This Row],[MonthlyIncome]]&lt;4000,"Low",IF(HR_Data[[#This Row],[MonthlyIncome]]&lt;=7000,"Medium","High"))</f>
        <v>Medium</v>
      </c>
      <c r="AL746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747" spans="1:38" hidden="1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tr">
        <f>IF(HR_Data[[#This Row],[Age]]&lt;30,"Under 30",IF(HR_Data[[#This Row],[Age]]&lt;=40,"30-40",IF(HR_Data[[#This Row],[Age]]&lt;=50,"41-50","50+")))</f>
        <v>50+</v>
      </c>
      <c r="AK747" t="str">
        <f>IF(HR_Data[[#This Row],[MonthlyIncome]]&lt;4000,"Low",IF(HR_Data[[#This Row],[MonthlyIncome]]&lt;=7000,"Medium","High"))</f>
        <v>Medium</v>
      </c>
      <c r="AL74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748" spans="1:38" hidden="1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tr">
        <f>IF(HR_Data[[#This Row],[Age]]&lt;30,"Under 30",IF(HR_Data[[#This Row],[Age]]&lt;=40,"30-40",IF(HR_Data[[#This Row],[Age]]&lt;=50,"41-50","50+")))</f>
        <v>41-50</v>
      </c>
      <c r="AK748" t="str">
        <f>IF(HR_Data[[#This Row],[MonthlyIncome]]&lt;4000,"Low",IF(HR_Data[[#This Row],[MonthlyIncome]]&lt;=7000,"Medium","High"))</f>
        <v>High</v>
      </c>
      <c r="AL748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749" spans="1:38" hidden="1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tr">
        <f>IF(HR_Data[[#This Row],[Age]]&lt;30,"Under 30",IF(HR_Data[[#This Row],[Age]]&lt;=40,"30-40",IF(HR_Data[[#This Row],[Age]]&lt;=50,"41-50","50+")))</f>
        <v>30-40</v>
      </c>
      <c r="AK749" t="str">
        <f>IF(HR_Data[[#This Row],[MonthlyIncome]]&lt;4000,"Low",IF(HR_Data[[#This Row],[MonthlyIncome]]&lt;=7000,"Medium","High"))</f>
        <v>Medium</v>
      </c>
      <c r="AL749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750" spans="1:38" hidden="1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tr">
        <f>IF(HR_Data[[#This Row],[Age]]&lt;30,"Under 30",IF(HR_Data[[#This Row],[Age]]&lt;=40,"30-40",IF(HR_Data[[#This Row],[Age]]&lt;=50,"41-50","50+")))</f>
        <v>Under 30</v>
      </c>
      <c r="AK750" t="str">
        <f>IF(HR_Data[[#This Row],[MonthlyIncome]]&lt;4000,"Low",IF(HR_Data[[#This Row],[MonthlyIncome]]&lt;=7000,"Medium","High"))</f>
        <v>Medium</v>
      </c>
      <c r="AL75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51" spans="1:38" hidden="1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tr">
        <f>IF(HR_Data[[#This Row],[Age]]&lt;30,"Under 30",IF(HR_Data[[#This Row],[Age]]&lt;=40,"30-40",IF(HR_Data[[#This Row],[Age]]&lt;=50,"41-50","50+")))</f>
        <v>50+</v>
      </c>
      <c r="AK751" t="str">
        <f>IF(HR_Data[[#This Row],[MonthlyIncome]]&lt;4000,"Low",IF(HR_Data[[#This Row],[MonthlyIncome]]&lt;=7000,"Medium","High"))</f>
        <v>High</v>
      </c>
      <c r="AL751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752" spans="1:38" hidden="1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tr">
        <f>IF(HR_Data[[#This Row],[Age]]&lt;30,"Under 30",IF(HR_Data[[#This Row],[Age]]&lt;=40,"30-40",IF(HR_Data[[#This Row],[Age]]&lt;=50,"41-50","50+")))</f>
        <v>41-50</v>
      </c>
      <c r="AK752" t="str">
        <f>IF(HR_Data[[#This Row],[MonthlyIncome]]&lt;4000,"Low",IF(HR_Data[[#This Row],[MonthlyIncome]]&lt;=7000,"Medium","High"))</f>
        <v>High</v>
      </c>
      <c r="AL752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753" spans="1:38" hidden="1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tr">
        <f>IF(HR_Data[[#This Row],[Age]]&lt;30,"Under 30",IF(HR_Data[[#This Row],[Age]]&lt;=40,"30-40",IF(HR_Data[[#This Row],[Age]]&lt;=50,"41-50","50+")))</f>
        <v>41-50</v>
      </c>
      <c r="AK753" t="str">
        <f>IF(HR_Data[[#This Row],[MonthlyIncome]]&lt;4000,"Low",IF(HR_Data[[#This Row],[MonthlyIncome]]&lt;=7000,"Medium","High"))</f>
        <v>Medium</v>
      </c>
      <c r="AL753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754" spans="1:38" hidden="1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tr">
        <f>IF(HR_Data[[#This Row],[Age]]&lt;30,"Under 30",IF(HR_Data[[#This Row],[Age]]&lt;=40,"30-40",IF(HR_Data[[#This Row],[Age]]&lt;=50,"41-50","50+")))</f>
        <v>30-40</v>
      </c>
      <c r="AK754" t="str">
        <f>IF(HR_Data[[#This Row],[MonthlyIncome]]&lt;4000,"Low",IF(HR_Data[[#This Row],[MonthlyIncome]]&lt;=7000,"Medium","High"))</f>
        <v>Low</v>
      </c>
      <c r="AL754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755" spans="1:38" hidden="1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tr">
        <f>IF(HR_Data[[#This Row],[Age]]&lt;30,"Under 30",IF(HR_Data[[#This Row],[Age]]&lt;=40,"30-40",IF(HR_Data[[#This Row],[Age]]&lt;=50,"41-50","50+")))</f>
        <v>30-40</v>
      </c>
      <c r="AK755" t="str">
        <f>IF(HR_Data[[#This Row],[MonthlyIncome]]&lt;4000,"Low",IF(HR_Data[[#This Row],[MonthlyIncome]]&lt;=7000,"Medium","High"))</f>
        <v>High</v>
      </c>
      <c r="AL755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756" spans="1:38" hidden="1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tr">
        <f>IF(HR_Data[[#This Row],[Age]]&lt;30,"Under 30",IF(HR_Data[[#This Row],[Age]]&lt;=40,"30-40",IF(HR_Data[[#This Row],[Age]]&lt;=50,"41-50","50+")))</f>
        <v>30-40</v>
      </c>
      <c r="AK756" t="str">
        <f>IF(HR_Data[[#This Row],[MonthlyIncome]]&lt;4000,"Low",IF(HR_Data[[#This Row],[MonthlyIncome]]&lt;=7000,"Medium","High"))</f>
        <v>Low</v>
      </c>
      <c r="AL75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57" spans="1:38" hidden="1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tr">
        <f>IF(HR_Data[[#This Row],[Age]]&lt;30,"Under 30",IF(HR_Data[[#This Row],[Age]]&lt;=40,"30-40",IF(HR_Data[[#This Row],[Age]]&lt;=50,"41-50","50+")))</f>
        <v>41-50</v>
      </c>
      <c r="AK757" t="str">
        <f>IF(HR_Data[[#This Row],[MonthlyIncome]]&lt;4000,"Low",IF(HR_Data[[#This Row],[MonthlyIncome]]&lt;=7000,"Medium","High"))</f>
        <v>High</v>
      </c>
      <c r="AL75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758" spans="1:38" hidden="1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tr">
        <f>IF(HR_Data[[#This Row],[Age]]&lt;30,"Under 30",IF(HR_Data[[#This Row],[Age]]&lt;=40,"30-40",IF(HR_Data[[#This Row],[Age]]&lt;=50,"41-50","50+")))</f>
        <v>30-40</v>
      </c>
      <c r="AK758" t="str">
        <f>IF(HR_Data[[#This Row],[MonthlyIncome]]&lt;4000,"Low",IF(HR_Data[[#This Row],[MonthlyIncome]]&lt;=7000,"Medium","High"))</f>
        <v>Medium</v>
      </c>
      <c r="AL75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759" spans="1:38" hidden="1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tr">
        <f>IF(HR_Data[[#This Row],[Age]]&lt;30,"Under 30",IF(HR_Data[[#This Row],[Age]]&lt;=40,"30-40",IF(HR_Data[[#This Row],[Age]]&lt;=50,"41-50","50+")))</f>
        <v>30-40</v>
      </c>
      <c r="AK759" t="str">
        <f>IF(HR_Data[[#This Row],[MonthlyIncome]]&lt;4000,"Low",IF(HR_Data[[#This Row],[MonthlyIncome]]&lt;=7000,"Medium","High"))</f>
        <v>High</v>
      </c>
      <c r="AL759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760" spans="1:38" hidden="1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tr">
        <f>IF(HR_Data[[#This Row],[Age]]&lt;30,"Under 30",IF(HR_Data[[#This Row],[Age]]&lt;=40,"30-40",IF(HR_Data[[#This Row],[Age]]&lt;=50,"41-50","50+")))</f>
        <v>50+</v>
      </c>
      <c r="AK760" t="str">
        <f>IF(HR_Data[[#This Row],[MonthlyIncome]]&lt;4000,"Low",IF(HR_Data[[#This Row],[MonthlyIncome]]&lt;=7000,"Medium","High"))</f>
        <v>High</v>
      </c>
      <c r="AL76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761" spans="1:38" hidden="1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tr">
        <f>IF(HR_Data[[#This Row],[Age]]&lt;30,"Under 30",IF(HR_Data[[#This Row],[Age]]&lt;=40,"30-40",IF(HR_Data[[#This Row],[Age]]&lt;=50,"41-50","50+")))</f>
        <v>41-50</v>
      </c>
      <c r="AK761" t="str">
        <f>IF(HR_Data[[#This Row],[MonthlyIncome]]&lt;4000,"Low",IF(HR_Data[[#This Row],[MonthlyIncome]]&lt;=7000,"Medium","High"))</f>
        <v>Low</v>
      </c>
      <c r="AL76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762" spans="1:38" hidden="1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tr">
        <f>IF(HR_Data[[#This Row],[Age]]&lt;30,"Under 30",IF(HR_Data[[#This Row],[Age]]&lt;=40,"30-40",IF(HR_Data[[#This Row],[Age]]&lt;=50,"41-50","50+")))</f>
        <v>50+</v>
      </c>
      <c r="AK762" t="str">
        <f>IF(HR_Data[[#This Row],[MonthlyIncome]]&lt;4000,"Low",IF(HR_Data[[#This Row],[MonthlyIncome]]&lt;=7000,"Medium","High"))</f>
        <v>High</v>
      </c>
      <c r="AL762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763" spans="1:38" hidden="1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tr">
        <f>IF(HR_Data[[#This Row],[Age]]&lt;30,"Under 30",IF(HR_Data[[#This Row],[Age]]&lt;=40,"30-40",IF(HR_Data[[#This Row],[Age]]&lt;=50,"41-50","50+")))</f>
        <v>30-40</v>
      </c>
      <c r="AK763" t="str">
        <f>IF(HR_Data[[#This Row],[MonthlyIncome]]&lt;4000,"Low",IF(HR_Data[[#This Row],[MonthlyIncome]]&lt;=7000,"Medium","High"))</f>
        <v>Medium</v>
      </c>
      <c r="AL763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764" spans="1:38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tr">
        <f>IF(HR_Data[[#This Row],[Age]]&lt;30,"Under 30",IF(HR_Data[[#This Row],[Age]]&lt;=40,"30-40",IF(HR_Data[[#This Row],[Age]]&lt;=50,"41-50","50+")))</f>
        <v>Under 30</v>
      </c>
      <c r="AK764" t="str">
        <f>IF(HR_Data[[#This Row],[MonthlyIncome]]&lt;4000,"Low",IF(HR_Data[[#This Row],[MonthlyIncome]]&lt;=7000,"Medium","High"))</f>
        <v>Low</v>
      </c>
      <c r="AL76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65" spans="1:38" hidden="1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tr">
        <f>IF(HR_Data[[#This Row],[Age]]&lt;30,"Under 30",IF(HR_Data[[#This Row],[Age]]&lt;=40,"30-40",IF(HR_Data[[#This Row],[Age]]&lt;=50,"41-50","50+")))</f>
        <v>30-40</v>
      </c>
      <c r="AK765" t="str">
        <f>IF(HR_Data[[#This Row],[MonthlyIncome]]&lt;4000,"Low",IF(HR_Data[[#This Row],[MonthlyIncome]]&lt;=7000,"Medium","High"))</f>
        <v>Low</v>
      </c>
      <c r="AL765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766" spans="1:38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tr">
        <f>IF(HR_Data[[#This Row],[Age]]&lt;30,"Under 30",IF(HR_Data[[#This Row],[Age]]&lt;=40,"30-40",IF(HR_Data[[#This Row],[Age]]&lt;=50,"41-50","50+")))</f>
        <v>Under 30</v>
      </c>
      <c r="AK766" t="str">
        <f>IF(HR_Data[[#This Row],[MonthlyIncome]]&lt;4000,"Low",IF(HR_Data[[#This Row],[MonthlyIncome]]&lt;=7000,"Medium","High"))</f>
        <v>Low</v>
      </c>
      <c r="AL766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767" spans="1:38" hidden="1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tr">
        <f>IF(HR_Data[[#This Row],[Age]]&lt;30,"Under 30",IF(HR_Data[[#This Row],[Age]]&lt;=40,"30-40",IF(HR_Data[[#This Row],[Age]]&lt;=50,"41-50","50+")))</f>
        <v>30-40</v>
      </c>
      <c r="AK767" t="str">
        <f>IF(HR_Data[[#This Row],[MonthlyIncome]]&lt;4000,"Low",IF(HR_Data[[#This Row],[MonthlyIncome]]&lt;=7000,"Medium","High"))</f>
        <v>Low</v>
      </c>
      <c r="AL76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68" spans="1:38" hidden="1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tr">
        <f>IF(HR_Data[[#This Row],[Age]]&lt;30,"Under 30",IF(HR_Data[[#This Row],[Age]]&lt;=40,"30-40",IF(HR_Data[[#This Row],[Age]]&lt;=50,"41-50","50+")))</f>
        <v>41-50</v>
      </c>
      <c r="AK768" t="str">
        <f>IF(HR_Data[[#This Row],[MonthlyIncome]]&lt;4000,"Low",IF(HR_Data[[#This Row],[MonthlyIncome]]&lt;=7000,"Medium","High"))</f>
        <v>High</v>
      </c>
      <c r="AL76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769" spans="1:38" hidden="1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tr">
        <f>IF(HR_Data[[#This Row],[Age]]&lt;30,"Under 30",IF(HR_Data[[#This Row],[Age]]&lt;=40,"30-40",IF(HR_Data[[#This Row],[Age]]&lt;=50,"41-50","50+")))</f>
        <v>30-40</v>
      </c>
      <c r="AK769" t="str">
        <f>IF(HR_Data[[#This Row],[MonthlyIncome]]&lt;4000,"Low",IF(HR_Data[[#This Row],[MonthlyIncome]]&lt;=7000,"Medium","High"))</f>
        <v>Medium</v>
      </c>
      <c r="AL76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70" spans="1:38" hidden="1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tr">
        <f>IF(HR_Data[[#This Row],[Age]]&lt;30,"Under 30",IF(HR_Data[[#This Row],[Age]]&lt;=40,"30-40",IF(HR_Data[[#This Row],[Age]]&lt;=50,"41-50","50+")))</f>
        <v>30-40</v>
      </c>
      <c r="AK770" t="str">
        <f>IF(HR_Data[[#This Row],[MonthlyIncome]]&lt;4000,"Low",IF(HR_Data[[#This Row],[MonthlyIncome]]&lt;=7000,"Medium","High"))</f>
        <v>High</v>
      </c>
      <c r="AL77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771" spans="1:38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tr">
        <f>IF(HR_Data[[#This Row],[Age]]&lt;30,"Under 30",IF(HR_Data[[#This Row],[Age]]&lt;=40,"30-40",IF(HR_Data[[#This Row],[Age]]&lt;=50,"41-50","50+")))</f>
        <v>Under 30</v>
      </c>
      <c r="AK771" t="str">
        <f>IF(HR_Data[[#This Row],[MonthlyIncome]]&lt;4000,"Low",IF(HR_Data[[#This Row],[MonthlyIncome]]&lt;=7000,"Medium","High"))</f>
        <v>Low</v>
      </c>
      <c r="AL77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72" spans="1:38" hidden="1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tr">
        <f>IF(HR_Data[[#This Row],[Age]]&lt;30,"Under 30",IF(HR_Data[[#This Row],[Age]]&lt;=40,"30-40",IF(HR_Data[[#This Row],[Age]]&lt;=50,"41-50","50+")))</f>
        <v>41-50</v>
      </c>
      <c r="AK772" t="str">
        <f>IF(HR_Data[[#This Row],[MonthlyIncome]]&lt;4000,"Low",IF(HR_Data[[#This Row],[MonthlyIncome]]&lt;=7000,"Medium","High"))</f>
        <v>High</v>
      </c>
      <c r="AL77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73" spans="1:38" hidden="1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tr">
        <f>IF(HR_Data[[#This Row],[Age]]&lt;30,"Under 30",IF(HR_Data[[#This Row],[Age]]&lt;=40,"30-40",IF(HR_Data[[#This Row],[Age]]&lt;=50,"41-50","50+")))</f>
        <v>50+</v>
      </c>
      <c r="AK773" t="str">
        <f>IF(HR_Data[[#This Row],[MonthlyIncome]]&lt;4000,"Low",IF(HR_Data[[#This Row],[MonthlyIncome]]&lt;=7000,"Medium","High"))</f>
        <v>High</v>
      </c>
      <c r="AL77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774" spans="1:38" hidden="1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tr">
        <f>IF(HR_Data[[#This Row],[Age]]&lt;30,"Under 30",IF(HR_Data[[#This Row],[Age]]&lt;=40,"30-40",IF(HR_Data[[#This Row],[Age]]&lt;=50,"41-50","50+")))</f>
        <v>50+</v>
      </c>
      <c r="AK774" t="str">
        <f>IF(HR_Data[[#This Row],[MonthlyIncome]]&lt;4000,"Low",IF(HR_Data[[#This Row],[MonthlyIncome]]&lt;=7000,"Medium","High"))</f>
        <v>Low</v>
      </c>
      <c r="AL77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75" spans="1:38" hidden="1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tr">
        <f>IF(HR_Data[[#This Row],[Age]]&lt;30,"Under 30",IF(HR_Data[[#This Row],[Age]]&lt;=40,"30-40",IF(HR_Data[[#This Row],[Age]]&lt;=50,"41-50","50+")))</f>
        <v>30-40</v>
      </c>
      <c r="AK775" t="str">
        <f>IF(HR_Data[[#This Row],[MonthlyIncome]]&lt;4000,"Low",IF(HR_Data[[#This Row],[MonthlyIncome]]&lt;=7000,"Medium","High"))</f>
        <v>High</v>
      </c>
      <c r="AL775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776" spans="1:38" hidden="1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tr">
        <f>IF(HR_Data[[#This Row],[Age]]&lt;30,"Under 30",IF(HR_Data[[#This Row],[Age]]&lt;=40,"30-40",IF(HR_Data[[#This Row],[Age]]&lt;=50,"41-50","50+")))</f>
        <v>50+</v>
      </c>
      <c r="AK776" t="str">
        <f>IF(HR_Data[[#This Row],[MonthlyIncome]]&lt;4000,"Low",IF(HR_Data[[#This Row],[MonthlyIncome]]&lt;=7000,"Medium","High"))</f>
        <v>High</v>
      </c>
      <c r="AL77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777" spans="1:38" hidden="1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tr">
        <f>IF(HR_Data[[#This Row],[Age]]&lt;30,"Under 30",IF(HR_Data[[#This Row],[Age]]&lt;=40,"30-40",IF(HR_Data[[#This Row],[Age]]&lt;=50,"41-50","50+")))</f>
        <v>41-50</v>
      </c>
      <c r="AK777" t="str">
        <f>IF(HR_Data[[#This Row],[MonthlyIncome]]&lt;4000,"Low",IF(HR_Data[[#This Row],[MonthlyIncome]]&lt;=7000,"Medium","High"))</f>
        <v>High</v>
      </c>
      <c r="AL777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778" spans="1:38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tr">
        <f>IF(HR_Data[[#This Row],[Age]]&lt;30,"Under 30",IF(HR_Data[[#This Row],[Age]]&lt;=40,"30-40",IF(HR_Data[[#This Row],[Age]]&lt;=50,"41-50","50+")))</f>
        <v>Under 30</v>
      </c>
      <c r="AK778" t="str">
        <f>IF(HR_Data[[#This Row],[MonthlyIncome]]&lt;4000,"Low",IF(HR_Data[[#This Row],[MonthlyIncome]]&lt;=7000,"Medium","High"))</f>
        <v>Low</v>
      </c>
      <c r="AL77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79" spans="1:38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tr">
        <f>IF(HR_Data[[#This Row],[Age]]&lt;30,"Under 30",IF(HR_Data[[#This Row],[Age]]&lt;=40,"30-40",IF(HR_Data[[#This Row],[Age]]&lt;=50,"41-50","50+")))</f>
        <v>Under 30</v>
      </c>
      <c r="AK779" t="str">
        <f>IF(HR_Data[[#This Row],[MonthlyIncome]]&lt;4000,"Low",IF(HR_Data[[#This Row],[MonthlyIncome]]&lt;=7000,"Medium","High"))</f>
        <v>Low</v>
      </c>
      <c r="AL779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780" spans="1:38" hidden="1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tr">
        <f>IF(HR_Data[[#This Row],[Age]]&lt;30,"Under 30",IF(HR_Data[[#This Row],[Age]]&lt;=40,"30-40",IF(HR_Data[[#This Row],[Age]]&lt;=50,"41-50","50+")))</f>
        <v>41-50</v>
      </c>
      <c r="AK780" t="str">
        <f>IF(HR_Data[[#This Row],[MonthlyIncome]]&lt;4000,"Low",IF(HR_Data[[#This Row],[MonthlyIncome]]&lt;=7000,"Medium","High"))</f>
        <v>Medium</v>
      </c>
      <c r="AL780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781" spans="1:38" hidden="1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tr">
        <f>IF(HR_Data[[#This Row],[Age]]&lt;30,"Under 30",IF(HR_Data[[#This Row],[Age]]&lt;=40,"30-40",IF(HR_Data[[#This Row],[Age]]&lt;=50,"41-50","50+")))</f>
        <v>50+</v>
      </c>
      <c r="AK781" t="str">
        <f>IF(HR_Data[[#This Row],[MonthlyIncome]]&lt;4000,"Low",IF(HR_Data[[#This Row],[MonthlyIncome]]&lt;=7000,"Medium","High"))</f>
        <v>Low</v>
      </c>
      <c r="AL78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782" spans="1:38" hidden="1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tr">
        <f>IF(HR_Data[[#This Row],[Age]]&lt;30,"Under 30",IF(HR_Data[[#This Row],[Age]]&lt;=40,"30-40",IF(HR_Data[[#This Row],[Age]]&lt;=50,"41-50","50+")))</f>
        <v>Under 30</v>
      </c>
      <c r="AK782" t="str">
        <f>IF(HR_Data[[#This Row],[MonthlyIncome]]&lt;4000,"Low",IF(HR_Data[[#This Row],[MonthlyIncome]]&lt;=7000,"Medium","High"))</f>
        <v>High</v>
      </c>
      <c r="AL78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783" spans="1:38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tr">
        <f>IF(HR_Data[[#This Row],[Age]]&lt;30,"Under 30",IF(HR_Data[[#This Row],[Age]]&lt;=40,"30-40",IF(HR_Data[[#This Row],[Age]]&lt;=50,"41-50","50+")))</f>
        <v>Under 30</v>
      </c>
      <c r="AK783" t="str">
        <f>IF(HR_Data[[#This Row],[MonthlyIncome]]&lt;4000,"Low",IF(HR_Data[[#This Row],[MonthlyIncome]]&lt;=7000,"Medium","High"))</f>
        <v>Low</v>
      </c>
      <c r="AL78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84" spans="1:38" hidden="1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tr">
        <f>IF(HR_Data[[#This Row],[Age]]&lt;30,"Under 30",IF(HR_Data[[#This Row],[Age]]&lt;=40,"30-40",IF(HR_Data[[#This Row],[Age]]&lt;=50,"41-50","50+")))</f>
        <v>30-40</v>
      </c>
      <c r="AK784" t="str">
        <f>IF(HR_Data[[#This Row],[MonthlyIncome]]&lt;4000,"Low",IF(HR_Data[[#This Row],[MonthlyIncome]]&lt;=7000,"Medium","High"))</f>
        <v>High</v>
      </c>
      <c r="AL78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785" spans="1:38" hidden="1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tr">
        <f>IF(HR_Data[[#This Row],[Age]]&lt;30,"Under 30",IF(HR_Data[[#This Row],[Age]]&lt;=40,"30-40",IF(HR_Data[[#This Row],[Age]]&lt;=50,"41-50","50+")))</f>
        <v>41-50</v>
      </c>
      <c r="AK785" t="str">
        <f>IF(HR_Data[[#This Row],[MonthlyIncome]]&lt;4000,"Low",IF(HR_Data[[#This Row],[MonthlyIncome]]&lt;=7000,"Medium","High"))</f>
        <v>Low</v>
      </c>
      <c r="AL78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786" spans="1:38" hidden="1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tr">
        <f>IF(HR_Data[[#This Row],[Age]]&lt;30,"Under 30",IF(HR_Data[[#This Row],[Age]]&lt;=40,"30-40",IF(HR_Data[[#This Row],[Age]]&lt;=50,"41-50","50+")))</f>
        <v>30-40</v>
      </c>
      <c r="AK786" t="str">
        <f>IF(HR_Data[[#This Row],[MonthlyIncome]]&lt;4000,"Low",IF(HR_Data[[#This Row],[MonthlyIncome]]&lt;=7000,"Medium","High"))</f>
        <v>High</v>
      </c>
      <c r="AL786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787" spans="1:38" hidden="1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tr">
        <f>IF(HR_Data[[#This Row],[Age]]&lt;30,"Under 30",IF(HR_Data[[#This Row],[Age]]&lt;=40,"30-40",IF(HR_Data[[#This Row],[Age]]&lt;=50,"41-50","50+")))</f>
        <v>30-40</v>
      </c>
      <c r="AK787" t="str">
        <f>IF(HR_Data[[#This Row],[MonthlyIncome]]&lt;4000,"Low",IF(HR_Data[[#This Row],[MonthlyIncome]]&lt;=7000,"Medium","High"))</f>
        <v>High</v>
      </c>
      <c r="AL787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788" spans="1:38" hidden="1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tr">
        <f>IF(HR_Data[[#This Row],[Age]]&lt;30,"Under 30",IF(HR_Data[[#This Row],[Age]]&lt;=40,"30-40",IF(HR_Data[[#This Row],[Age]]&lt;=50,"41-50","50+")))</f>
        <v>Under 30</v>
      </c>
      <c r="AK788" t="str">
        <f>IF(HR_Data[[#This Row],[MonthlyIncome]]&lt;4000,"Low",IF(HR_Data[[#This Row],[MonthlyIncome]]&lt;=7000,"Medium","High"))</f>
        <v>Medium</v>
      </c>
      <c r="AL78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89" spans="1:38" hidden="1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tr">
        <f>IF(HR_Data[[#This Row],[Age]]&lt;30,"Under 30",IF(HR_Data[[#This Row],[Age]]&lt;=40,"30-40",IF(HR_Data[[#This Row],[Age]]&lt;=50,"41-50","50+")))</f>
        <v>50+</v>
      </c>
      <c r="AK789" t="str">
        <f>IF(HR_Data[[#This Row],[MonthlyIncome]]&lt;4000,"Low",IF(HR_Data[[#This Row],[MonthlyIncome]]&lt;=7000,"Medium","High"))</f>
        <v>High</v>
      </c>
      <c r="AL78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90" spans="1:38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tr">
        <f>IF(HR_Data[[#This Row],[Age]]&lt;30,"Under 30",IF(HR_Data[[#This Row],[Age]]&lt;=40,"30-40",IF(HR_Data[[#This Row],[Age]]&lt;=50,"41-50","50+")))</f>
        <v>Under 30</v>
      </c>
      <c r="AK790" t="str">
        <f>IF(HR_Data[[#This Row],[MonthlyIncome]]&lt;4000,"Low",IF(HR_Data[[#This Row],[MonthlyIncome]]&lt;=7000,"Medium","High"))</f>
        <v>Low</v>
      </c>
      <c r="AL79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791" spans="1:38" hidden="1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tr">
        <f>IF(HR_Data[[#This Row],[Age]]&lt;30,"Under 30",IF(HR_Data[[#This Row],[Age]]&lt;=40,"30-40",IF(HR_Data[[#This Row],[Age]]&lt;=50,"41-50","50+")))</f>
        <v>41-50</v>
      </c>
      <c r="AK791" t="str">
        <f>IF(HR_Data[[#This Row],[MonthlyIncome]]&lt;4000,"Low",IF(HR_Data[[#This Row],[MonthlyIncome]]&lt;=7000,"Medium","High"))</f>
        <v>High</v>
      </c>
      <c r="AL791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792" spans="1:38" hidden="1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tr">
        <f>IF(HR_Data[[#This Row],[Age]]&lt;30,"Under 30",IF(HR_Data[[#This Row],[Age]]&lt;=40,"30-40",IF(HR_Data[[#This Row],[Age]]&lt;=50,"41-50","50+")))</f>
        <v>30-40</v>
      </c>
      <c r="AK792" t="str">
        <f>IF(HR_Data[[#This Row],[MonthlyIncome]]&lt;4000,"Low",IF(HR_Data[[#This Row],[MonthlyIncome]]&lt;=7000,"Medium","High"))</f>
        <v>High</v>
      </c>
      <c r="AL79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93" spans="1:38" hidden="1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tr">
        <f>IF(HR_Data[[#This Row],[Age]]&lt;30,"Under 30",IF(HR_Data[[#This Row],[Age]]&lt;=40,"30-40",IF(HR_Data[[#This Row],[Age]]&lt;=50,"41-50","50+")))</f>
        <v>30-40</v>
      </c>
      <c r="AK793" t="str">
        <f>IF(HR_Data[[#This Row],[MonthlyIncome]]&lt;4000,"Low",IF(HR_Data[[#This Row],[MonthlyIncome]]&lt;=7000,"Medium","High"))</f>
        <v>High</v>
      </c>
      <c r="AL79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794" spans="1:38" hidden="1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tr">
        <f>IF(HR_Data[[#This Row],[Age]]&lt;30,"Under 30",IF(HR_Data[[#This Row],[Age]]&lt;=40,"30-40",IF(HR_Data[[#This Row],[Age]]&lt;=50,"41-50","50+")))</f>
        <v>30-40</v>
      </c>
      <c r="AK794" t="str">
        <f>IF(HR_Data[[#This Row],[MonthlyIncome]]&lt;4000,"Low",IF(HR_Data[[#This Row],[MonthlyIncome]]&lt;=7000,"Medium","High"))</f>
        <v>Medium</v>
      </c>
      <c r="AL794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795" spans="1:38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tr">
        <f>IF(HR_Data[[#This Row],[Age]]&lt;30,"Under 30",IF(HR_Data[[#This Row],[Age]]&lt;=40,"30-40",IF(HR_Data[[#This Row],[Age]]&lt;=50,"41-50","50+")))</f>
        <v>Under 30</v>
      </c>
      <c r="AK795" t="str">
        <f>IF(HR_Data[[#This Row],[MonthlyIncome]]&lt;4000,"Low",IF(HR_Data[[#This Row],[MonthlyIncome]]&lt;=7000,"Medium","High"))</f>
        <v>Low</v>
      </c>
      <c r="AL79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796" spans="1:38" hidden="1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tr">
        <f>IF(HR_Data[[#This Row],[Age]]&lt;30,"Under 30",IF(HR_Data[[#This Row],[Age]]&lt;=40,"30-40",IF(HR_Data[[#This Row],[Age]]&lt;=50,"41-50","50+")))</f>
        <v>30-40</v>
      </c>
      <c r="AK796" t="str">
        <f>IF(HR_Data[[#This Row],[MonthlyIncome]]&lt;4000,"Low",IF(HR_Data[[#This Row],[MonthlyIncome]]&lt;=7000,"Medium","High"))</f>
        <v>High</v>
      </c>
      <c r="AL79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797" spans="1:38" hidden="1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t="str">
        <f>IF(HR_Data[[#This Row],[Age]]&lt;30,"Under 30",IF(HR_Data[[#This Row],[Age]]&lt;=40,"30-40",IF(HR_Data[[#This Row],[Age]]&lt;=50,"41-50","50+")))</f>
        <v>30-40</v>
      </c>
      <c r="AK797" t="str">
        <f>IF(HR_Data[[#This Row],[MonthlyIncome]]&lt;4000,"Low",IF(HR_Data[[#This Row],[MonthlyIncome]]&lt;=7000,"Medium","High"))</f>
        <v>Medium</v>
      </c>
      <c r="AL797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798" spans="1:38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tr">
        <f>IF(HR_Data[[#This Row],[Age]]&lt;30,"Under 30",IF(HR_Data[[#This Row],[Age]]&lt;=40,"30-40",IF(HR_Data[[#This Row],[Age]]&lt;=50,"41-50","50+")))</f>
        <v>Under 30</v>
      </c>
      <c r="AK798" t="str">
        <f>IF(HR_Data[[#This Row],[MonthlyIncome]]&lt;4000,"Low",IF(HR_Data[[#This Row],[MonthlyIncome]]&lt;=7000,"Medium","High"))</f>
        <v>Low</v>
      </c>
      <c r="AL79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799" spans="1:38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tr">
        <f>IF(HR_Data[[#This Row],[Age]]&lt;30,"Under 30",IF(HR_Data[[#This Row],[Age]]&lt;=40,"30-40",IF(HR_Data[[#This Row],[Age]]&lt;=50,"41-50","50+")))</f>
        <v>Under 30</v>
      </c>
      <c r="AK799" t="str">
        <f>IF(HR_Data[[#This Row],[MonthlyIncome]]&lt;4000,"Low",IF(HR_Data[[#This Row],[MonthlyIncome]]&lt;=7000,"Medium","High"))</f>
        <v>Low</v>
      </c>
      <c r="AL799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800" spans="1:38" hidden="1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tr">
        <f>IF(HR_Data[[#This Row],[Age]]&lt;30,"Under 30",IF(HR_Data[[#This Row],[Age]]&lt;=40,"30-40",IF(HR_Data[[#This Row],[Age]]&lt;=50,"41-50","50+")))</f>
        <v>30-40</v>
      </c>
      <c r="AK800" t="str">
        <f>IF(HR_Data[[#This Row],[MonthlyIncome]]&lt;4000,"Low",IF(HR_Data[[#This Row],[MonthlyIncome]]&lt;=7000,"Medium","High"))</f>
        <v>Low</v>
      </c>
      <c r="AL80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01" spans="1:38" hidden="1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tr">
        <f>IF(HR_Data[[#This Row],[Age]]&lt;30,"Under 30",IF(HR_Data[[#This Row],[Age]]&lt;=40,"30-40",IF(HR_Data[[#This Row],[Age]]&lt;=50,"41-50","50+")))</f>
        <v>41-50</v>
      </c>
      <c r="AK801" t="str">
        <f>IF(HR_Data[[#This Row],[MonthlyIncome]]&lt;4000,"Low",IF(HR_Data[[#This Row],[MonthlyIncome]]&lt;=7000,"Medium","High"))</f>
        <v>High</v>
      </c>
      <c r="AL801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802" spans="1:38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tr">
        <f>IF(HR_Data[[#This Row],[Age]]&lt;30,"Under 30",IF(HR_Data[[#This Row],[Age]]&lt;=40,"30-40",IF(HR_Data[[#This Row],[Age]]&lt;=50,"41-50","50+")))</f>
        <v>Under 30</v>
      </c>
      <c r="AK802" t="str">
        <f>IF(HR_Data[[#This Row],[MonthlyIncome]]&lt;4000,"Low",IF(HR_Data[[#This Row],[MonthlyIncome]]&lt;=7000,"Medium","High"))</f>
        <v>Low</v>
      </c>
      <c r="AL802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803" spans="1:38" hidden="1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tr">
        <f>IF(HR_Data[[#This Row],[Age]]&lt;30,"Under 30",IF(HR_Data[[#This Row],[Age]]&lt;=40,"30-40",IF(HR_Data[[#This Row],[Age]]&lt;=50,"41-50","50+")))</f>
        <v>41-50</v>
      </c>
      <c r="AK803" t="str">
        <f>IF(HR_Data[[#This Row],[MonthlyIncome]]&lt;4000,"Low",IF(HR_Data[[#This Row],[MonthlyIncome]]&lt;=7000,"Medium","High"))</f>
        <v>Medium</v>
      </c>
      <c r="AL803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804" spans="1:38" hidden="1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tr">
        <f>IF(HR_Data[[#This Row],[Age]]&lt;30,"Under 30",IF(HR_Data[[#This Row],[Age]]&lt;=40,"30-40",IF(HR_Data[[#This Row],[Age]]&lt;=50,"41-50","50+")))</f>
        <v>30-40</v>
      </c>
      <c r="AK804" t="str">
        <f>IF(HR_Data[[#This Row],[MonthlyIncome]]&lt;4000,"Low",IF(HR_Data[[#This Row],[MonthlyIncome]]&lt;=7000,"Medium","High"))</f>
        <v>Medium</v>
      </c>
      <c r="AL80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05" spans="1:38" hidden="1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tr">
        <f>IF(HR_Data[[#This Row],[Age]]&lt;30,"Under 30",IF(HR_Data[[#This Row],[Age]]&lt;=40,"30-40",IF(HR_Data[[#This Row],[Age]]&lt;=50,"41-50","50+")))</f>
        <v>30-40</v>
      </c>
      <c r="AK805" t="str">
        <f>IF(HR_Data[[#This Row],[MonthlyIncome]]&lt;4000,"Low",IF(HR_Data[[#This Row],[MonthlyIncome]]&lt;=7000,"Medium","High"))</f>
        <v>Low</v>
      </c>
      <c r="AL805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806" spans="1:38" hidden="1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tr">
        <f>IF(HR_Data[[#This Row],[Age]]&lt;30,"Under 30",IF(HR_Data[[#This Row],[Age]]&lt;=40,"30-40",IF(HR_Data[[#This Row],[Age]]&lt;=50,"41-50","50+")))</f>
        <v>41-50</v>
      </c>
      <c r="AK806" t="str">
        <f>IF(HR_Data[[#This Row],[MonthlyIncome]]&lt;4000,"Low",IF(HR_Data[[#This Row],[MonthlyIncome]]&lt;=7000,"Medium","High"))</f>
        <v>High</v>
      </c>
      <c r="AL80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07" spans="1:38" hidden="1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tr">
        <f>IF(HR_Data[[#This Row],[Age]]&lt;30,"Under 30",IF(HR_Data[[#This Row],[Age]]&lt;=40,"30-40",IF(HR_Data[[#This Row],[Age]]&lt;=50,"41-50","50+")))</f>
        <v>41-50</v>
      </c>
      <c r="AK807" t="str">
        <f>IF(HR_Data[[#This Row],[MonthlyIncome]]&lt;4000,"Low",IF(HR_Data[[#This Row],[MonthlyIncome]]&lt;=7000,"Medium","High"))</f>
        <v>Medium</v>
      </c>
      <c r="AL807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808" spans="1:38" hidden="1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tr">
        <f>IF(HR_Data[[#This Row],[Age]]&lt;30,"Under 30",IF(HR_Data[[#This Row],[Age]]&lt;=40,"30-40",IF(HR_Data[[#This Row],[Age]]&lt;=50,"41-50","50+")))</f>
        <v>50+</v>
      </c>
      <c r="AK808" t="str">
        <f>IF(HR_Data[[#This Row],[MonthlyIncome]]&lt;4000,"Low",IF(HR_Data[[#This Row],[MonthlyIncome]]&lt;=7000,"Medium","High"))</f>
        <v>High</v>
      </c>
      <c r="AL80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09" spans="1:38" hidden="1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tr">
        <f>IF(HR_Data[[#This Row],[Age]]&lt;30,"Under 30",IF(HR_Data[[#This Row],[Age]]&lt;=40,"30-40",IF(HR_Data[[#This Row],[Age]]&lt;=50,"41-50","50+")))</f>
        <v>30-40</v>
      </c>
      <c r="AK809" t="str">
        <f>IF(HR_Data[[#This Row],[MonthlyIncome]]&lt;4000,"Low",IF(HR_Data[[#This Row],[MonthlyIncome]]&lt;=7000,"Medium","High"))</f>
        <v>High</v>
      </c>
      <c r="AL809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10" spans="1:38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tr">
        <f>IF(HR_Data[[#This Row],[Age]]&lt;30,"Under 30",IF(HR_Data[[#This Row],[Age]]&lt;=40,"30-40",IF(HR_Data[[#This Row],[Age]]&lt;=50,"41-50","50+")))</f>
        <v>Under 30</v>
      </c>
      <c r="AK810" t="str">
        <f>IF(HR_Data[[#This Row],[MonthlyIncome]]&lt;4000,"Low",IF(HR_Data[[#This Row],[MonthlyIncome]]&lt;=7000,"Medium","High"))</f>
        <v>Low</v>
      </c>
      <c r="AL81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11" spans="1:38" hidden="1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tr">
        <f>IF(HR_Data[[#This Row],[Age]]&lt;30,"Under 30",IF(HR_Data[[#This Row],[Age]]&lt;=40,"30-40",IF(HR_Data[[#This Row],[Age]]&lt;=50,"41-50","50+")))</f>
        <v>Under 30</v>
      </c>
      <c r="AK811" t="str">
        <f>IF(HR_Data[[#This Row],[MonthlyIncome]]&lt;4000,"Low",IF(HR_Data[[#This Row],[MonthlyIncome]]&lt;=7000,"Medium","High"))</f>
        <v>High</v>
      </c>
      <c r="AL81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12" spans="1:38" hidden="1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tr">
        <f>IF(HR_Data[[#This Row],[Age]]&lt;30,"Under 30",IF(HR_Data[[#This Row],[Age]]&lt;=40,"30-40",IF(HR_Data[[#This Row],[Age]]&lt;=50,"41-50","50+")))</f>
        <v>41-50</v>
      </c>
      <c r="AK812" t="str">
        <f>IF(HR_Data[[#This Row],[MonthlyIncome]]&lt;4000,"Low",IF(HR_Data[[#This Row],[MonthlyIncome]]&lt;=7000,"Medium","High"))</f>
        <v>High</v>
      </c>
      <c r="AL812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813" spans="1:38" hidden="1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tr">
        <f>IF(HR_Data[[#This Row],[Age]]&lt;30,"Under 30",IF(HR_Data[[#This Row],[Age]]&lt;=40,"30-40",IF(HR_Data[[#This Row],[Age]]&lt;=50,"41-50","50+")))</f>
        <v>30-40</v>
      </c>
      <c r="AK813" t="str">
        <f>IF(HR_Data[[#This Row],[MonthlyIncome]]&lt;4000,"Low",IF(HR_Data[[#This Row],[MonthlyIncome]]&lt;=7000,"Medium","High"))</f>
        <v>High</v>
      </c>
      <c r="AL813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814" spans="1:38" hidden="1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tr">
        <f>IF(HR_Data[[#This Row],[Age]]&lt;30,"Under 30",IF(HR_Data[[#This Row],[Age]]&lt;=40,"30-40",IF(HR_Data[[#This Row],[Age]]&lt;=50,"41-50","50+")))</f>
        <v>41-50</v>
      </c>
      <c r="AK814" t="str">
        <f>IF(HR_Data[[#This Row],[MonthlyIncome]]&lt;4000,"Low",IF(HR_Data[[#This Row],[MonthlyIncome]]&lt;=7000,"Medium","High"))</f>
        <v>High</v>
      </c>
      <c r="AL81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15" spans="1:38" hidden="1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tr">
        <f>IF(HR_Data[[#This Row],[Age]]&lt;30,"Under 30",IF(HR_Data[[#This Row],[Age]]&lt;=40,"30-40",IF(HR_Data[[#This Row],[Age]]&lt;=50,"41-50","50+")))</f>
        <v>30-40</v>
      </c>
      <c r="AK815" t="str">
        <f>IF(HR_Data[[#This Row],[MonthlyIncome]]&lt;4000,"Low",IF(HR_Data[[#This Row],[MonthlyIncome]]&lt;=7000,"Medium","High"))</f>
        <v>High</v>
      </c>
      <c r="AL815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816" spans="1:38" hidden="1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tr">
        <f>IF(HR_Data[[#This Row],[Age]]&lt;30,"Under 30",IF(HR_Data[[#This Row],[Age]]&lt;=40,"30-40",IF(HR_Data[[#This Row],[Age]]&lt;=50,"41-50","50+")))</f>
        <v>30-40</v>
      </c>
      <c r="AK816" t="str">
        <f>IF(HR_Data[[#This Row],[MonthlyIncome]]&lt;4000,"Low",IF(HR_Data[[#This Row],[MonthlyIncome]]&lt;=7000,"Medium","High"))</f>
        <v>High</v>
      </c>
      <c r="AL816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817" spans="1:38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tr">
        <f>IF(HR_Data[[#This Row],[Age]]&lt;30,"Under 30",IF(HR_Data[[#This Row],[Age]]&lt;=40,"30-40",IF(HR_Data[[#This Row],[Age]]&lt;=50,"41-50","50+")))</f>
        <v>Under 30</v>
      </c>
      <c r="AK817" t="str">
        <f>IF(HR_Data[[#This Row],[MonthlyIncome]]&lt;4000,"Low",IF(HR_Data[[#This Row],[MonthlyIncome]]&lt;=7000,"Medium","High"))</f>
        <v>Low</v>
      </c>
      <c r="AL81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18" spans="1:38" hidden="1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tr">
        <f>IF(HR_Data[[#This Row],[Age]]&lt;30,"Under 30",IF(HR_Data[[#This Row],[Age]]&lt;=40,"30-40",IF(HR_Data[[#This Row],[Age]]&lt;=50,"41-50","50+")))</f>
        <v>30-40</v>
      </c>
      <c r="AK818" t="str">
        <f>IF(HR_Data[[#This Row],[MonthlyIncome]]&lt;4000,"Low",IF(HR_Data[[#This Row],[MonthlyIncome]]&lt;=7000,"Medium","High"))</f>
        <v>Medium</v>
      </c>
      <c r="AL81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19" spans="1:38" hidden="1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tr">
        <f>IF(HR_Data[[#This Row],[Age]]&lt;30,"Under 30",IF(HR_Data[[#This Row],[Age]]&lt;=40,"30-40",IF(HR_Data[[#This Row],[Age]]&lt;=50,"41-50","50+")))</f>
        <v>30-40</v>
      </c>
      <c r="AK819" t="str">
        <f>IF(HR_Data[[#This Row],[MonthlyIncome]]&lt;4000,"Low",IF(HR_Data[[#This Row],[MonthlyIncome]]&lt;=7000,"Medium","High"))</f>
        <v>High</v>
      </c>
      <c r="AL819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820" spans="1:38" hidden="1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tr">
        <f>IF(HR_Data[[#This Row],[Age]]&lt;30,"Under 30",IF(HR_Data[[#This Row],[Age]]&lt;=40,"30-40",IF(HR_Data[[#This Row],[Age]]&lt;=50,"41-50","50+")))</f>
        <v>30-40</v>
      </c>
      <c r="AK820" t="str">
        <f>IF(HR_Data[[#This Row],[MonthlyIncome]]&lt;4000,"Low",IF(HR_Data[[#This Row],[MonthlyIncome]]&lt;=7000,"Medium","High"))</f>
        <v>Low</v>
      </c>
      <c r="AL82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21" spans="1:38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tr">
        <f>IF(HR_Data[[#This Row],[Age]]&lt;30,"Under 30",IF(HR_Data[[#This Row],[Age]]&lt;=40,"30-40",IF(HR_Data[[#This Row],[Age]]&lt;=50,"41-50","50+")))</f>
        <v>Under 30</v>
      </c>
      <c r="AK821" t="str">
        <f>IF(HR_Data[[#This Row],[MonthlyIncome]]&lt;4000,"Low",IF(HR_Data[[#This Row],[MonthlyIncome]]&lt;=7000,"Medium","High"))</f>
        <v>Low</v>
      </c>
      <c r="AL82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22" spans="1:38" hidden="1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tr">
        <f>IF(HR_Data[[#This Row],[Age]]&lt;30,"Under 30",IF(HR_Data[[#This Row],[Age]]&lt;=40,"30-40",IF(HR_Data[[#This Row],[Age]]&lt;=50,"41-50","50+")))</f>
        <v>30-40</v>
      </c>
      <c r="AK822" t="str">
        <f>IF(HR_Data[[#This Row],[MonthlyIncome]]&lt;4000,"Low",IF(HR_Data[[#This Row],[MonthlyIncome]]&lt;=7000,"Medium","High"))</f>
        <v>Medium</v>
      </c>
      <c r="AL82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23" spans="1:38" hidden="1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tr">
        <f>IF(HR_Data[[#This Row],[Age]]&lt;30,"Under 30",IF(HR_Data[[#This Row],[Age]]&lt;=40,"30-40",IF(HR_Data[[#This Row],[Age]]&lt;=50,"41-50","50+")))</f>
        <v>41-50</v>
      </c>
      <c r="AK823" t="str">
        <f>IF(HR_Data[[#This Row],[MonthlyIncome]]&lt;4000,"Low",IF(HR_Data[[#This Row],[MonthlyIncome]]&lt;=7000,"Medium","High"))</f>
        <v>High</v>
      </c>
      <c r="AL82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24" spans="1:38" hidden="1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tr">
        <f>IF(HR_Data[[#This Row],[Age]]&lt;30,"Under 30",IF(HR_Data[[#This Row],[Age]]&lt;=40,"30-40",IF(HR_Data[[#This Row],[Age]]&lt;=50,"41-50","50+")))</f>
        <v>30-40</v>
      </c>
      <c r="AK824" t="str">
        <f>IF(HR_Data[[#This Row],[MonthlyIncome]]&lt;4000,"Low",IF(HR_Data[[#This Row],[MonthlyIncome]]&lt;=7000,"Medium","High"))</f>
        <v>Medium</v>
      </c>
      <c r="AL82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25" spans="1:38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tr">
        <f>IF(HR_Data[[#This Row],[Age]]&lt;30,"Under 30",IF(HR_Data[[#This Row],[Age]]&lt;=40,"30-40",IF(HR_Data[[#This Row],[Age]]&lt;=50,"41-50","50+")))</f>
        <v>Under 30</v>
      </c>
      <c r="AK825" t="str">
        <f>IF(HR_Data[[#This Row],[MonthlyIncome]]&lt;4000,"Low",IF(HR_Data[[#This Row],[MonthlyIncome]]&lt;=7000,"Medium","High"))</f>
        <v>Low</v>
      </c>
      <c r="AL82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26" spans="1:38" hidden="1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tr">
        <f>IF(HR_Data[[#This Row],[Age]]&lt;30,"Under 30",IF(HR_Data[[#This Row],[Age]]&lt;=40,"30-40",IF(HR_Data[[#This Row],[Age]]&lt;=50,"41-50","50+")))</f>
        <v>41-50</v>
      </c>
      <c r="AK826" t="str">
        <f>IF(HR_Data[[#This Row],[MonthlyIncome]]&lt;4000,"Low",IF(HR_Data[[#This Row],[MonthlyIncome]]&lt;=7000,"Medium","High"))</f>
        <v>Medium</v>
      </c>
      <c r="AL826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827" spans="1:38" hidden="1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tr">
        <f>IF(HR_Data[[#This Row],[Age]]&lt;30,"Under 30",IF(HR_Data[[#This Row],[Age]]&lt;=40,"30-40",IF(HR_Data[[#This Row],[Age]]&lt;=50,"41-50","50+")))</f>
        <v>Under 30</v>
      </c>
      <c r="AK827" t="str">
        <f>IF(HR_Data[[#This Row],[MonthlyIncome]]&lt;4000,"Low",IF(HR_Data[[#This Row],[MonthlyIncome]]&lt;=7000,"Medium","High"))</f>
        <v>Medium</v>
      </c>
      <c r="AL82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28" spans="1:38" hidden="1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tr">
        <f>IF(HR_Data[[#This Row],[Age]]&lt;30,"Under 30",IF(HR_Data[[#This Row],[Age]]&lt;=40,"30-40",IF(HR_Data[[#This Row],[Age]]&lt;=50,"41-50","50+")))</f>
        <v>30-40</v>
      </c>
      <c r="AK828" t="str">
        <f>IF(HR_Data[[#This Row],[MonthlyIncome]]&lt;4000,"Low",IF(HR_Data[[#This Row],[MonthlyIncome]]&lt;=7000,"Medium","High"))</f>
        <v>Low</v>
      </c>
      <c r="AL82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29" spans="1:38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tr">
        <f>IF(HR_Data[[#This Row],[Age]]&lt;30,"Under 30",IF(HR_Data[[#This Row],[Age]]&lt;=40,"30-40",IF(HR_Data[[#This Row],[Age]]&lt;=50,"41-50","50+")))</f>
        <v>Under 30</v>
      </c>
      <c r="AK829" t="str">
        <f>IF(HR_Data[[#This Row],[MonthlyIncome]]&lt;4000,"Low",IF(HR_Data[[#This Row],[MonthlyIncome]]&lt;=7000,"Medium","High"))</f>
        <v>Low</v>
      </c>
      <c r="AL82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30" spans="1:38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t="str">
        <f>IF(HR_Data[[#This Row],[Age]]&lt;30,"Under 30",IF(HR_Data[[#This Row],[Age]]&lt;=40,"30-40",IF(HR_Data[[#This Row],[Age]]&lt;=50,"41-50","50+")))</f>
        <v>Under 30</v>
      </c>
      <c r="AK830" t="str">
        <f>IF(HR_Data[[#This Row],[MonthlyIncome]]&lt;4000,"Low",IF(HR_Data[[#This Row],[MonthlyIncome]]&lt;=7000,"Medium","High"))</f>
        <v>Low</v>
      </c>
      <c r="AL830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831" spans="1:38" hidden="1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tr">
        <f>IF(HR_Data[[#This Row],[Age]]&lt;30,"Under 30",IF(HR_Data[[#This Row],[Age]]&lt;=40,"30-40",IF(HR_Data[[#This Row],[Age]]&lt;=50,"41-50","50+")))</f>
        <v>30-40</v>
      </c>
      <c r="AK831" t="str">
        <f>IF(HR_Data[[#This Row],[MonthlyIncome]]&lt;4000,"Low",IF(HR_Data[[#This Row],[MonthlyIncome]]&lt;=7000,"Medium","High"))</f>
        <v>High</v>
      </c>
      <c r="AL83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32" spans="1:38" hidden="1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tr">
        <f>IF(HR_Data[[#This Row],[Age]]&lt;30,"Under 30",IF(HR_Data[[#This Row],[Age]]&lt;=40,"30-40",IF(HR_Data[[#This Row],[Age]]&lt;=50,"41-50","50+")))</f>
        <v>41-50</v>
      </c>
      <c r="AK832" t="str">
        <f>IF(HR_Data[[#This Row],[MonthlyIncome]]&lt;4000,"Low",IF(HR_Data[[#This Row],[MonthlyIncome]]&lt;=7000,"Medium","High"))</f>
        <v>Medium</v>
      </c>
      <c r="AL832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833" spans="1:38" hidden="1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tr">
        <f>IF(HR_Data[[#This Row],[Age]]&lt;30,"Under 30",IF(HR_Data[[#This Row],[Age]]&lt;=40,"30-40",IF(HR_Data[[#This Row],[Age]]&lt;=50,"41-50","50+")))</f>
        <v>30-40</v>
      </c>
      <c r="AK833" t="str">
        <f>IF(HR_Data[[#This Row],[MonthlyIncome]]&lt;4000,"Low",IF(HR_Data[[#This Row],[MonthlyIncome]]&lt;=7000,"Medium","High"))</f>
        <v>Low</v>
      </c>
      <c r="AL83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34" spans="1:38" hidden="1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tr">
        <f>IF(HR_Data[[#This Row],[Age]]&lt;30,"Under 30",IF(HR_Data[[#This Row],[Age]]&lt;=40,"30-40",IF(HR_Data[[#This Row],[Age]]&lt;=50,"41-50","50+")))</f>
        <v>30-40</v>
      </c>
      <c r="AK834" t="str">
        <f>IF(HR_Data[[#This Row],[MonthlyIncome]]&lt;4000,"Low",IF(HR_Data[[#This Row],[MonthlyIncome]]&lt;=7000,"Medium","High"))</f>
        <v>Medium</v>
      </c>
      <c r="AL83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35" spans="1:38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tr">
        <f>IF(HR_Data[[#This Row],[Age]]&lt;30,"Under 30",IF(HR_Data[[#This Row],[Age]]&lt;=40,"30-40",IF(HR_Data[[#This Row],[Age]]&lt;=50,"41-50","50+")))</f>
        <v>Under 30</v>
      </c>
      <c r="AK835" t="str">
        <f>IF(HR_Data[[#This Row],[MonthlyIncome]]&lt;4000,"Low",IF(HR_Data[[#This Row],[MonthlyIncome]]&lt;=7000,"Medium","High"))</f>
        <v>Low</v>
      </c>
      <c r="AL83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36" spans="1:38" hidden="1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tr">
        <f>IF(HR_Data[[#This Row],[Age]]&lt;30,"Under 30",IF(HR_Data[[#This Row],[Age]]&lt;=40,"30-40",IF(HR_Data[[#This Row],[Age]]&lt;=50,"41-50","50+")))</f>
        <v>30-40</v>
      </c>
      <c r="AK836" t="str">
        <f>IF(HR_Data[[#This Row],[MonthlyIncome]]&lt;4000,"Low",IF(HR_Data[[#This Row],[MonthlyIncome]]&lt;=7000,"Medium","High"))</f>
        <v>Medium</v>
      </c>
      <c r="AL83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37" spans="1:38" hidden="1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tr">
        <f>IF(HR_Data[[#This Row],[Age]]&lt;30,"Under 30",IF(HR_Data[[#This Row],[Age]]&lt;=40,"30-40",IF(HR_Data[[#This Row],[Age]]&lt;=50,"41-50","50+")))</f>
        <v>30-40</v>
      </c>
      <c r="AK837" t="str">
        <f>IF(HR_Data[[#This Row],[MonthlyIncome]]&lt;4000,"Low",IF(HR_Data[[#This Row],[MonthlyIncome]]&lt;=7000,"Medium","High"))</f>
        <v>Medium</v>
      </c>
      <c r="AL83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38" spans="1:38" hidden="1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tr">
        <f>IF(HR_Data[[#This Row],[Age]]&lt;30,"Under 30",IF(HR_Data[[#This Row],[Age]]&lt;=40,"30-40",IF(HR_Data[[#This Row],[Age]]&lt;=50,"41-50","50+")))</f>
        <v>Under 30</v>
      </c>
      <c r="AK838" t="str">
        <f>IF(HR_Data[[#This Row],[MonthlyIncome]]&lt;4000,"Low",IF(HR_Data[[#This Row],[MonthlyIncome]]&lt;=7000,"Medium","High"))</f>
        <v>High</v>
      </c>
      <c r="AL838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839" spans="1:38" hidden="1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tr">
        <f>IF(HR_Data[[#This Row],[Age]]&lt;30,"Under 30",IF(HR_Data[[#This Row],[Age]]&lt;=40,"30-40",IF(HR_Data[[#This Row],[Age]]&lt;=50,"41-50","50+")))</f>
        <v>30-40</v>
      </c>
      <c r="AK839" t="str">
        <f>IF(HR_Data[[#This Row],[MonthlyIncome]]&lt;4000,"Low",IF(HR_Data[[#This Row],[MonthlyIncome]]&lt;=7000,"Medium","High"))</f>
        <v>High</v>
      </c>
      <c r="AL839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840" spans="1:38" hidden="1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tr">
        <f>IF(HR_Data[[#This Row],[Age]]&lt;30,"Under 30",IF(HR_Data[[#This Row],[Age]]&lt;=40,"30-40",IF(HR_Data[[#This Row],[Age]]&lt;=50,"41-50","50+")))</f>
        <v>41-50</v>
      </c>
      <c r="AK840" t="str">
        <f>IF(HR_Data[[#This Row],[MonthlyIncome]]&lt;4000,"Low",IF(HR_Data[[#This Row],[MonthlyIncome]]&lt;=7000,"Medium","High"))</f>
        <v>High</v>
      </c>
      <c r="AL840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841" spans="1:38" hidden="1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tr">
        <f>IF(HR_Data[[#This Row],[Age]]&lt;30,"Under 30",IF(HR_Data[[#This Row],[Age]]&lt;=40,"30-40",IF(HR_Data[[#This Row],[Age]]&lt;=50,"41-50","50+")))</f>
        <v>41-50</v>
      </c>
      <c r="AK841" t="str">
        <f>IF(HR_Data[[#This Row],[MonthlyIncome]]&lt;4000,"Low",IF(HR_Data[[#This Row],[MonthlyIncome]]&lt;=7000,"Medium","High"))</f>
        <v>Medium</v>
      </c>
      <c r="AL84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42" spans="1:38" hidden="1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tr">
        <f>IF(HR_Data[[#This Row],[Age]]&lt;30,"Under 30",IF(HR_Data[[#This Row],[Age]]&lt;=40,"30-40",IF(HR_Data[[#This Row],[Age]]&lt;=50,"41-50","50+")))</f>
        <v>30-40</v>
      </c>
      <c r="AK842" t="str">
        <f>IF(HR_Data[[#This Row],[MonthlyIncome]]&lt;4000,"Low",IF(HR_Data[[#This Row],[MonthlyIncome]]&lt;=7000,"Medium","High"))</f>
        <v>Low</v>
      </c>
      <c r="AL84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43" spans="1:38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tr">
        <f>IF(HR_Data[[#This Row],[Age]]&lt;30,"Under 30",IF(HR_Data[[#This Row],[Age]]&lt;=40,"30-40",IF(HR_Data[[#This Row],[Age]]&lt;=50,"41-50","50+")))</f>
        <v>Under 30</v>
      </c>
      <c r="AK843" t="str">
        <f>IF(HR_Data[[#This Row],[MonthlyIncome]]&lt;4000,"Low",IF(HR_Data[[#This Row],[MonthlyIncome]]&lt;=7000,"Medium","High"))</f>
        <v>Low</v>
      </c>
      <c r="AL84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44" spans="1:38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tr">
        <f>IF(HR_Data[[#This Row],[Age]]&lt;30,"Under 30",IF(HR_Data[[#This Row],[Age]]&lt;=40,"30-40",IF(HR_Data[[#This Row],[Age]]&lt;=50,"41-50","50+")))</f>
        <v>Under 30</v>
      </c>
      <c r="AK844" t="str">
        <f>IF(HR_Data[[#This Row],[MonthlyIncome]]&lt;4000,"Low",IF(HR_Data[[#This Row],[MonthlyIncome]]&lt;=7000,"Medium","High"))</f>
        <v>Low</v>
      </c>
      <c r="AL844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845" spans="1:38" hidden="1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tr">
        <f>IF(HR_Data[[#This Row],[Age]]&lt;30,"Under 30",IF(HR_Data[[#This Row],[Age]]&lt;=40,"30-40",IF(HR_Data[[#This Row],[Age]]&lt;=50,"41-50","50+")))</f>
        <v>Under 30</v>
      </c>
      <c r="AK845" t="str">
        <f>IF(HR_Data[[#This Row],[MonthlyIncome]]&lt;4000,"Low",IF(HR_Data[[#This Row],[MonthlyIncome]]&lt;=7000,"Medium","High"))</f>
        <v>Medium</v>
      </c>
      <c r="AL84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46" spans="1:38" hidden="1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tr">
        <f>IF(HR_Data[[#This Row],[Age]]&lt;30,"Under 30",IF(HR_Data[[#This Row],[Age]]&lt;=40,"30-40",IF(HR_Data[[#This Row],[Age]]&lt;=50,"41-50","50+")))</f>
        <v>30-40</v>
      </c>
      <c r="AK846" t="str">
        <f>IF(HR_Data[[#This Row],[MonthlyIncome]]&lt;4000,"Low",IF(HR_Data[[#This Row],[MonthlyIncome]]&lt;=7000,"Medium","High"))</f>
        <v>Medium</v>
      </c>
      <c r="AL84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47" spans="1:38" hidden="1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tr">
        <f>IF(HR_Data[[#This Row],[Age]]&lt;30,"Under 30",IF(HR_Data[[#This Row],[Age]]&lt;=40,"30-40",IF(HR_Data[[#This Row],[Age]]&lt;=50,"41-50","50+")))</f>
        <v>30-40</v>
      </c>
      <c r="AK847" t="str">
        <f>IF(HR_Data[[#This Row],[MonthlyIncome]]&lt;4000,"Low",IF(HR_Data[[#This Row],[MonthlyIncome]]&lt;=7000,"Medium","High"))</f>
        <v>Medium</v>
      </c>
      <c r="AL847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848" spans="1:38" hidden="1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tr">
        <f>IF(HR_Data[[#This Row],[Age]]&lt;30,"Under 30",IF(HR_Data[[#This Row],[Age]]&lt;=40,"30-40",IF(HR_Data[[#This Row],[Age]]&lt;=50,"41-50","50+")))</f>
        <v>30-40</v>
      </c>
      <c r="AK848" t="str">
        <f>IF(HR_Data[[#This Row],[MonthlyIncome]]&lt;4000,"Low",IF(HR_Data[[#This Row],[MonthlyIncome]]&lt;=7000,"Medium","High"))</f>
        <v>High</v>
      </c>
      <c r="AL84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49" spans="1:38" hidden="1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tr">
        <f>IF(HR_Data[[#This Row],[Age]]&lt;30,"Under 30",IF(HR_Data[[#This Row],[Age]]&lt;=40,"30-40",IF(HR_Data[[#This Row],[Age]]&lt;=50,"41-50","50+")))</f>
        <v>30-40</v>
      </c>
      <c r="AK849" t="str">
        <f>IF(HR_Data[[#This Row],[MonthlyIncome]]&lt;4000,"Low",IF(HR_Data[[#This Row],[MonthlyIncome]]&lt;=7000,"Medium","High"))</f>
        <v>Medium</v>
      </c>
      <c r="AL849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850" spans="1:38" hidden="1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tr">
        <f>IF(HR_Data[[#This Row],[Age]]&lt;30,"Under 30",IF(HR_Data[[#This Row],[Age]]&lt;=40,"30-40",IF(HR_Data[[#This Row],[Age]]&lt;=50,"41-50","50+")))</f>
        <v>30-40</v>
      </c>
      <c r="AK850" t="str">
        <f>IF(HR_Data[[#This Row],[MonthlyIncome]]&lt;4000,"Low",IF(HR_Data[[#This Row],[MonthlyIncome]]&lt;=7000,"Medium","High"))</f>
        <v>Low</v>
      </c>
      <c r="AL85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51" spans="1:38" hidden="1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tr">
        <f>IF(HR_Data[[#This Row],[Age]]&lt;30,"Under 30",IF(HR_Data[[#This Row],[Age]]&lt;=40,"30-40",IF(HR_Data[[#This Row],[Age]]&lt;=50,"41-50","50+")))</f>
        <v>41-50</v>
      </c>
      <c r="AK851" t="str">
        <f>IF(HR_Data[[#This Row],[MonthlyIncome]]&lt;4000,"Low",IF(HR_Data[[#This Row],[MonthlyIncome]]&lt;=7000,"Medium","High"))</f>
        <v>Medium</v>
      </c>
      <c r="AL85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52" spans="1:38" hidden="1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tr">
        <f>IF(HR_Data[[#This Row],[Age]]&lt;30,"Under 30",IF(HR_Data[[#This Row],[Age]]&lt;=40,"30-40",IF(HR_Data[[#This Row],[Age]]&lt;=50,"41-50","50+")))</f>
        <v>30-40</v>
      </c>
      <c r="AK852" t="str">
        <f>IF(HR_Data[[#This Row],[MonthlyIncome]]&lt;4000,"Low",IF(HR_Data[[#This Row],[MonthlyIncome]]&lt;=7000,"Medium","High"))</f>
        <v>Low</v>
      </c>
      <c r="AL852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853" spans="1:38" hidden="1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tr">
        <f>IF(HR_Data[[#This Row],[Age]]&lt;30,"Under 30",IF(HR_Data[[#This Row],[Age]]&lt;=40,"30-40",IF(HR_Data[[#This Row],[Age]]&lt;=50,"41-50","50+")))</f>
        <v>50+</v>
      </c>
      <c r="AK853" t="str">
        <f>IF(HR_Data[[#This Row],[MonthlyIncome]]&lt;4000,"Low",IF(HR_Data[[#This Row],[MonthlyIncome]]&lt;=7000,"Medium","High"))</f>
        <v>High</v>
      </c>
      <c r="AL85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54" spans="1:38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tr">
        <f>IF(HR_Data[[#This Row],[Age]]&lt;30,"Under 30",IF(HR_Data[[#This Row],[Age]]&lt;=40,"30-40",IF(HR_Data[[#This Row],[Age]]&lt;=50,"41-50","50+")))</f>
        <v>Under 30</v>
      </c>
      <c r="AK854" t="str">
        <f>IF(HR_Data[[#This Row],[MonthlyIncome]]&lt;4000,"Low",IF(HR_Data[[#This Row],[MonthlyIncome]]&lt;=7000,"Medium","High"))</f>
        <v>Low</v>
      </c>
      <c r="AL85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55" spans="1:38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tr">
        <f>IF(HR_Data[[#This Row],[Age]]&lt;30,"Under 30",IF(HR_Data[[#This Row],[Age]]&lt;=40,"30-40",IF(HR_Data[[#This Row],[Age]]&lt;=50,"41-50","50+")))</f>
        <v>Under 30</v>
      </c>
      <c r="AK855" t="str">
        <f>IF(HR_Data[[#This Row],[MonthlyIncome]]&lt;4000,"Low",IF(HR_Data[[#This Row],[MonthlyIncome]]&lt;=7000,"Medium","High"))</f>
        <v>Low</v>
      </c>
      <c r="AL855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856" spans="1:38" hidden="1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tr">
        <f>IF(HR_Data[[#This Row],[Age]]&lt;30,"Under 30",IF(HR_Data[[#This Row],[Age]]&lt;=40,"30-40",IF(HR_Data[[#This Row],[Age]]&lt;=50,"41-50","50+")))</f>
        <v>41-50</v>
      </c>
      <c r="AK856" t="str">
        <f>IF(HR_Data[[#This Row],[MonthlyIncome]]&lt;4000,"Low",IF(HR_Data[[#This Row],[MonthlyIncome]]&lt;=7000,"Medium","High"))</f>
        <v>Medium</v>
      </c>
      <c r="AL85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57" spans="1:38" hidden="1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tr">
        <f>IF(HR_Data[[#This Row],[Age]]&lt;30,"Under 30",IF(HR_Data[[#This Row],[Age]]&lt;=40,"30-40",IF(HR_Data[[#This Row],[Age]]&lt;=50,"41-50","50+")))</f>
        <v>30-40</v>
      </c>
      <c r="AK857" t="str">
        <f>IF(HR_Data[[#This Row],[MonthlyIncome]]&lt;4000,"Low",IF(HR_Data[[#This Row],[MonthlyIncome]]&lt;=7000,"Medium","High"))</f>
        <v>Medium</v>
      </c>
      <c r="AL857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858" spans="1:38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tr">
        <f>IF(HR_Data[[#This Row],[Age]]&lt;30,"Under 30",IF(HR_Data[[#This Row],[Age]]&lt;=40,"30-40",IF(HR_Data[[#This Row],[Age]]&lt;=50,"41-50","50+")))</f>
        <v>Under 30</v>
      </c>
      <c r="AK858" t="str">
        <f>IF(HR_Data[[#This Row],[MonthlyIncome]]&lt;4000,"Low",IF(HR_Data[[#This Row],[MonthlyIncome]]&lt;=7000,"Medium","High"))</f>
        <v>Low</v>
      </c>
      <c r="AL85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59" spans="1:38" hidden="1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tr">
        <f>IF(HR_Data[[#This Row],[Age]]&lt;30,"Under 30",IF(HR_Data[[#This Row],[Age]]&lt;=40,"30-40",IF(HR_Data[[#This Row],[Age]]&lt;=50,"41-50","50+")))</f>
        <v>41-50</v>
      </c>
      <c r="AK859" t="str">
        <f>IF(HR_Data[[#This Row],[MonthlyIncome]]&lt;4000,"Low",IF(HR_Data[[#This Row],[MonthlyIncome]]&lt;=7000,"Medium","High"))</f>
        <v>Low</v>
      </c>
      <c r="AL859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60" spans="1:38" hidden="1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tr">
        <f>IF(HR_Data[[#This Row],[Age]]&lt;30,"Under 30",IF(HR_Data[[#This Row],[Age]]&lt;=40,"30-40",IF(HR_Data[[#This Row],[Age]]&lt;=50,"41-50","50+")))</f>
        <v>50+</v>
      </c>
      <c r="AK860" t="str">
        <f>IF(HR_Data[[#This Row],[MonthlyIncome]]&lt;4000,"Low",IF(HR_Data[[#This Row],[MonthlyIncome]]&lt;=7000,"Medium","High"))</f>
        <v>High</v>
      </c>
      <c r="AL86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61" spans="1:38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tr">
        <f>IF(HR_Data[[#This Row],[Age]]&lt;30,"Under 30",IF(HR_Data[[#This Row],[Age]]&lt;=40,"30-40",IF(HR_Data[[#This Row],[Age]]&lt;=50,"41-50","50+")))</f>
        <v>Under 30</v>
      </c>
      <c r="AK861" t="str">
        <f>IF(HR_Data[[#This Row],[MonthlyIncome]]&lt;4000,"Low",IF(HR_Data[[#This Row],[MonthlyIncome]]&lt;=7000,"Medium","High"))</f>
        <v>Low</v>
      </c>
      <c r="AL86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62" spans="1:38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tr">
        <f>IF(HR_Data[[#This Row],[Age]]&lt;30,"Under 30",IF(HR_Data[[#This Row],[Age]]&lt;=40,"30-40",IF(HR_Data[[#This Row],[Age]]&lt;=50,"41-50","50+")))</f>
        <v>Under 30</v>
      </c>
      <c r="AK862" t="str">
        <f>IF(HR_Data[[#This Row],[MonthlyIncome]]&lt;4000,"Low",IF(HR_Data[[#This Row],[MonthlyIncome]]&lt;=7000,"Medium","High"))</f>
        <v>Low</v>
      </c>
      <c r="AL862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863" spans="1:38" hidden="1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tr">
        <f>IF(HR_Data[[#This Row],[Age]]&lt;30,"Under 30",IF(HR_Data[[#This Row],[Age]]&lt;=40,"30-40",IF(HR_Data[[#This Row],[Age]]&lt;=50,"41-50","50+")))</f>
        <v>41-50</v>
      </c>
      <c r="AK863" t="str">
        <f>IF(HR_Data[[#This Row],[MonthlyIncome]]&lt;4000,"Low",IF(HR_Data[[#This Row],[MonthlyIncome]]&lt;=7000,"Medium","High"))</f>
        <v>High</v>
      </c>
      <c r="AL863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864" spans="1:38" hidden="1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tr">
        <f>IF(HR_Data[[#This Row],[Age]]&lt;30,"Under 30",IF(HR_Data[[#This Row],[Age]]&lt;=40,"30-40",IF(HR_Data[[#This Row],[Age]]&lt;=50,"41-50","50+")))</f>
        <v>41-50</v>
      </c>
      <c r="AK864" t="str">
        <f>IF(HR_Data[[#This Row],[MonthlyIncome]]&lt;4000,"Low",IF(HR_Data[[#This Row],[MonthlyIncome]]&lt;=7000,"Medium","High"))</f>
        <v>Low</v>
      </c>
      <c r="AL864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865" spans="1:38" hidden="1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tr">
        <f>IF(HR_Data[[#This Row],[Age]]&lt;30,"Under 30",IF(HR_Data[[#This Row],[Age]]&lt;=40,"30-40",IF(HR_Data[[#This Row],[Age]]&lt;=50,"41-50","50+")))</f>
        <v>30-40</v>
      </c>
      <c r="AK865" t="str">
        <f>IF(HR_Data[[#This Row],[MonthlyIncome]]&lt;4000,"Low",IF(HR_Data[[#This Row],[MonthlyIncome]]&lt;=7000,"Medium","High"))</f>
        <v>Low</v>
      </c>
      <c r="AL86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66" spans="1:38" hidden="1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tr">
        <f>IF(HR_Data[[#This Row],[Age]]&lt;30,"Under 30",IF(HR_Data[[#This Row],[Age]]&lt;=40,"30-40",IF(HR_Data[[#This Row],[Age]]&lt;=50,"41-50","50+")))</f>
        <v>41-50</v>
      </c>
      <c r="AK866" t="str">
        <f>IF(HR_Data[[#This Row],[MonthlyIncome]]&lt;4000,"Low",IF(HR_Data[[#This Row],[MonthlyIncome]]&lt;=7000,"Medium","High"))</f>
        <v>Low</v>
      </c>
      <c r="AL866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867" spans="1:38" hidden="1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tr">
        <f>IF(HR_Data[[#This Row],[Age]]&lt;30,"Under 30",IF(HR_Data[[#This Row],[Age]]&lt;=40,"30-40",IF(HR_Data[[#This Row],[Age]]&lt;=50,"41-50","50+")))</f>
        <v>30-40</v>
      </c>
      <c r="AK867" t="str">
        <f>IF(HR_Data[[#This Row],[MonthlyIncome]]&lt;4000,"Low",IF(HR_Data[[#This Row],[MonthlyIncome]]&lt;=7000,"Medium","High"))</f>
        <v>Medium</v>
      </c>
      <c r="AL86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68" spans="1:38" hidden="1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tr">
        <f>IF(HR_Data[[#This Row],[Age]]&lt;30,"Under 30",IF(HR_Data[[#This Row],[Age]]&lt;=40,"30-40",IF(HR_Data[[#This Row],[Age]]&lt;=50,"41-50","50+")))</f>
        <v>30-40</v>
      </c>
      <c r="AK868" t="str">
        <f>IF(HR_Data[[#This Row],[MonthlyIncome]]&lt;4000,"Low",IF(HR_Data[[#This Row],[MonthlyIncome]]&lt;=7000,"Medium","High"))</f>
        <v>Medium</v>
      </c>
      <c r="AL868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869" spans="1:38" hidden="1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tr">
        <f>IF(HR_Data[[#This Row],[Age]]&lt;30,"Under 30",IF(HR_Data[[#This Row],[Age]]&lt;=40,"30-40",IF(HR_Data[[#This Row],[Age]]&lt;=50,"41-50","50+")))</f>
        <v>41-50</v>
      </c>
      <c r="AK869" t="str">
        <f>IF(HR_Data[[#This Row],[MonthlyIncome]]&lt;4000,"Low",IF(HR_Data[[#This Row],[MonthlyIncome]]&lt;=7000,"Medium","High"))</f>
        <v>High</v>
      </c>
      <c r="AL86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70" spans="1:38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tr">
        <f>IF(HR_Data[[#This Row],[Age]]&lt;30,"Under 30",IF(HR_Data[[#This Row],[Age]]&lt;=40,"30-40",IF(HR_Data[[#This Row],[Age]]&lt;=50,"41-50","50+")))</f>
        <v>Under 30</v>
      </c>
      <c r="AK870" t="str">
        <f>IF(HR_Data[[#This Row],[MonthlyIncome]]&lt;4000,"Low",IF(HR_Data[[#This Row],[MonthlyIncome]]&lt;=7000,"Medium","High"))</f>
        <v>Low</v>
      </c>
      <c r="AL87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71" spans="1:38" hidden="1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tr">
        <f>IF(HR_Data[[#This Row],[Age]]&lt;30,"Under 30",IF(HR_Data[[#This Row],[Age]]&lt;=40,"30-40",IF(HR_Data[[#This Row],[Age]]&lt;=50,"41-50","50+")))</f>
        <v>41-50</v>
      </c>
      <c r="AK871" t="str">
        <f>IF(HR_Data[[#This Row],[MonthlyIncome]]&lt;4000,"Low",IF(HR_Data[[#This Row],[MonthlyIncome]]&lt;=7000,"Medium","High"))</f>
        <v>High</v>
      </c>
      <c r="AL87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72" spans="1:38" hidden="1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tr">
        <f>IF(HR_Data[[#This Row],[Age]]&lt;30,"Under 30",IF(HR_Data[[#This Row],[Age]]&lt;=40,"30-40",IF(HR_Data[[#This Row],[Age]]&lt;=50,"41-50","50+")))</f>
        <v>30-40</v>
      </c>
      <c r="AK872" t="str">
        <f>IF(HR_Data[[#This Row],[MonthlyIncome]]&lt;4000,"Low",IF(HR_Data[[#This Row],[MonthlyIncome]]&lt;=7000,"Medium","High"))</f>
        <v>High</v>
      </c>
      <c r="AL87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73" spans="1:38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tr">
        <f>IF(HR_Data[[#This Row],[Age]]&lt;30,"Under 30",IF(HR_Data[[#This Row],[Age]]&lt;=40,"30-40",IF(HR_Data[[#This Row],[Age]]&lt;=50,"41-50","50+")))</f>
        <v>Under 30</v>
      </c>
      <c r="AK873" t="str">
        <f>IF(HR_Data[[#This Row],[MonthlyIncome]]&lt;4000,"Low",IF(HR_Data[[#This Row],[MonthlyIncome]]&lt;=7000,"Medium","High"))</f>
        <v>Low</v>
      </c>
      <c r="AL873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874" spans="1:38" hidden="1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tr">
        <f>IF(HR_Data[[#This Row],[Age]]&lt;30,"Under 30",IF(HR_Data[[#This Row],[Age]]&lt;=40,"30-40",IF(HR_Data[[#This Row],[Age]]&lt;=50,"41-50","50+")))</f>
        <v>30-40</v>
      </c>
      <c r="AK874" t="str">
        <f>IF(HR_Data[[#This Row],[MonthlyIncome]]&lt;4000,"Low",IF(HR_Data[[#This Row],[MonthlyIncome]]&lt;=7000,"Medium","High"))</f>
        <v>Medium</v>
      </c>
      <c r="AL87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75" spans="1:38" hidden="1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tr">
        <f>IF(HR_Data[[#This Row],[Age]]&lt;30,"Under 30",IF(HR_Data[[#This Row],[Age]]&lt;=40,"30-40",IF(HR_Data[[#This Row],[Age]]&lt;=50,"41-50","50+")))</f>
        <v>30-40</v>
      </c>
      <c r="AK875" t="str">
        <f>IF(HR_Data[[#This Row],[MonthlyIncome]]&lt;4000,"Low",IF(HR_Data[[#This Row],[MonthlyIncome]]&lt;=7000,"Medium","High"))</f>
        <v>Low</v>
      </c>
      <c r="AL87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76" spans="1:38" hidden="1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tr">
        <f>IF(HR_Data[[#This Row],[Age]]&lt;30,"Under 30",IF(HR_Data[[#This Row],[Age]]&lt;=40,"30-40",IF(HR_Data[[#This Row],[Age]]&lt;=50,"41-50","50+")))</f>
        <v>30-40</v>
      </c>
      <c r="AK876" t="str">
        <f>IF(HR_Data[[#This Row],[MonthlyIncome]]&lt;4000,"Low",IF(HR_Data[[#This Row],[MonthlyIncome]]&lt;=7000,"Medium","High"))</f>
        <v>Low</v>
      </c>
      <c r="AL87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77" spans="1:38" hidden="1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tr">
        <f>IF(HR_Data[[#This Row],[Age]]&lt;30,"Under 30",IF(HR_Data[[#This Row],[Age]]&lt;=40,"30-40",IF(HR_Data[[#This Row],[Age]]&lt;=50,"41-50","50+")))</f>
        <v>41-50</v>
      </c>
      <c r="AK877" t="str">
        <f>IF(HR_Data[[#This Row],[MonthlyIncome]]&lt;4000,"Low",IF(HR_Data[[#This Row],[MonthlyIncome]]&lt;=7000,"Medium","High"))</f>
        <v>Medium</v>
      </c>
      <c r="AL877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878" spans="1:38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tr">
        <f>IF(HR_Data[[#This Row],[Age]]&lt;30,"Under 30",IF(HR_Data[[#This Row],[Age]]&lt;=40,"30-40",IF(HR_Data[[#This Row],[Age]]&lt;=50,"41-50","50+")))</f>
        <v>Under 30</v>
      </c>
      <c r="AK878" t="str">
        <f>IF(HR_Data[[#This Row],[MonthlyIncome]]&lt;4000,"Low",IF(HR_Data[[#This Row],[MonthlyIncome]]&lt;=7000,"Medium","High"))</f>
        <v>Low</v>
      </c>
      <c r="AL87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79" spans="1:38" hidden="1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tr">
        <f>IF(HR_Data[[#This Row],[Age]]&lt;30,"Under 30",IF(HR_Data[[#This Row],[Age]]&lt;=40,"30-40",IF(HR_Data[[#This Row],[Age]]&lt;=50,"41-50","50+")))</f>
        <v>41-50</v>
      </c>
      <c r="AK879" t="str">
        <f>IF(HR_Data[[#This Row],[MonthlyIncome]]&lt;4000,"Low",IF(HR_Data[[#This Row],[MonthlyIncome]]&lt;=7000,"Medium","High"))</f>
        <v>High</v>
      </c>
      <c r="AL879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80" spans="1:38" hidden="1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tr">
        <f>IF(HR_Data[[#This Row],[Age]]&lt;30,"Under 30",IF(HR_Data[[#This Row],[Age]]&lt;=40,"30-40",IF(HR_Data[[#This Row],[Age]]&lt;=50,"41-50","50+")))</f>
        <v>41-50</v>
      </c>
      <c r="AK880" t="str">
        <f>IF(HR_Data[[#This Row],[MonthlyIncome]]&lt;4000,"Low",IF(HR_Data[[#This Row],[MonthlyIncome]]&lt;=7000,"Medium","High"))</f>
        <v>Medium</v>
      </c>
      <c r="AL88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81" spans="1:38" hidden="1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tr">
        <f>IF(HR_Data[[#This Row],[Age]]&lt;30,"Under 30",IF(HR_Data[[#This Row],[Age]]&lt;=40,"30-40",IF(HR_Data[[#This Row],[Age]]&lt;=50,"41-50","50+")))</f>
        <v>50+</v>
      </c>
      <c r="AK881" t="str">
        <f>IF(HR_Data[[#This Row],[MonthlyIncome]]&lt;4000,"Low",IF(HR_Data[[#This Row],[MonthlyIncome]]&lt;=7000,"Medium","High"))</f>
        <v>Medium</v>
      </c>
      <c r="AL881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882" spans="1:38" hidden="1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tr">
        <f>IF(HR_Data[[#This Row],[Age]]&lt;30,"Under 30",IF(HR_Data[[#This Row],[Age]]&lt;=40,"30-40",IF(HR_Data[[#This Row],[Age]]&lt;=50,"41-50","50+")))</f>
        <v>30-40</v>
      </c>
      <c r="AK882" t="str">
        <f>IF(HR_Data[[#This Row],[MonthlyIncome]]&lt;4000,"Low",IF(HR_Data[[#This Row],[MonthlyIncome]]&lt;=7000,"Medium","High"))</f>
        <v>Low</v>
      </c>
      <c r="AL88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83" spans="1:38" hidden="1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tr">
        <f>IF(HR_Data[[#This Row],[Age]]&lt;30,"Under 30",IF(HR_Data[[#This Row],[Age]]&lt;=40,"30-40",IF(HR_Data[[#This Row],[Age]]&lt;=50,"41-50","50+")))</f>
        <v>30-40</v>
      </c>
      <c r="AK883" t="str">
        <f>IF(HR_Data[[#This Row],[MonthlyIncome]]&lt;4000,"Low",IF(HR_Data[[#This Row],[MonthlyIncome]]&lt;=7000,"Medium","High"))</f>
        <v>Medium</v>
      </c>
      <c r="AL88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84" spans="1:38" hidden="1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tr">
        <f>IF(HR_Data[[#This Row],[Age]]&lt;30,"Under 30",IF(HR_Data[[#This Row],[Age]]&lt;=40,"30-40",IF(HR_Data[[#This Row],[Age]]&lt;=50,"41-50","50+")))</f>
        <v>30-40</v>
      </c>
      <c r="AK884" t="str">
        <f>IF(HR_Data[[#This Row],[MonthlyIncome]]&lt;4000,"Low",IF(HR_Data[[#This Row],[MonthlyIncome]]&lt;=7000,"Medium","High"))</f>
        <v>High</v>
      </c>
      <c r="AL88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85" spans="1:38" hidden="1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tr">
        <f>IF(HR_Data[[#This Row],[Age]]&lt;30,"Under 30",IF(HR_Data[[#This Row],[Age]]&lt;=40,"30-40",IF(HR_Data[[#This Row],[Age]]&lt;=50,"41-50","50+")))</f>
        <v>30-40</v>
      </c>
      <c r="AK885" t="str">
        <f>IF(HR_Data[[#This Row],[MonthlyIncome]]&lt;4000,"Low",IF(HR_Data[[#This Row],[MonthlyIncome]]&lt;=7000,"Medium","High"))</f>
        <v>Low</v>
      </c>
      <c r="AL885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886" spans="1:38" hidden="1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tr">
        <f>IF(HR_Data[[#This Row],[Age]]&lt;30,"Under 30",IF(HR_Data[[#This Row],[Age]]&lt;=40,"30-40",IF(HR_Data[[#This Row],[Age]]&lt;=50,"41-50","50+")))</f>
        <v>30-40</v>
      </c>
      <c r="AK886" t="str">
        <f>IF(HR_Data[[#This Row],[MonthlyIncome]]&lt;4000,"Low",IF(HR_Data[[#This Row],[MonthlyIncome]]&lt;=7000,"Medium","High"))</f>
        <v>Medium</v>
      </c>
      <c r="AL88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87" spans="1:38" hidden="1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tr">
        <f>IF(HR_Data[[#This Row],[Age]]&lt;30,"Under 30",IF(HR_Data[[#This Row],[Age]]&lt;=40,"30-40",IF(HR_Data[[#This Row],[Age]]&lt;=50,"41-50","50+")))</f>
        <v>Under 30</v>
      </c>
      <c r="AK887" t="str">
        <f>IF(HR_Data[[#This Row],[MonthlyIncome]]&lt;4000,"Low",IF(HR_Data[[#This Row],[MonthlyIncome]]&lt;=7000,"Medium","High"))</f>
        <v>Medium</v>
      </c>
      <c r="AL88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88" spans="1:38" hidden="1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tr">
        <f>IF(HR_Data[[#This Row],[Age]]&lt;30,"Under 30",IF(HR_Data[[#This Row],[Age]]&lt;=40,"30-40",IF(HR_Data[[#This Row],[Age]]&lt;=50,"41-50","50+")))</f>
        <v>30-40</v>
      </c>
      <c r="AK888" t="str">
        <f>IF(HR_Data[[#This Row],[MonthlyIncome]]&lt;4000,"Low",IF(HR_Data[[#This Row],[MonthlyIncome]]&lt;=7000,"Medium","High"))</f>
        <v>Low</v>
      </c>
      <c r="AL888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889" spans="1:38" hidden="1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tr">
        <f>IF(HR_Data[[#This Row],[Age]]&lt;30,"Under 30",IF(HR_Data[[#This Row],[Age]]&lt;=40,"30-40",IF(HR_Data[[#This Row],[Age]]&lt;=50,"41-50","50+")))</f>
        <v>41-50</v>
      </c>
      <c r="AK889" t="str">
        <f>IF(HR_Data[[#This Row],[MonthlyIncome]]&lt;4000,"Low",IF(HR_Data[[#This Row],[MonthlyIncome]]&lt;=7000,"Medium","High"))</f>
        <v>High</v>
      </c>
      <c r="AL889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890" spans="1:38" hidden="1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tr">
        <f>IF(HR_Data[[#This Row],[Age]]&lt;30,"Under 30",IF(HR_Data[[#This Row],[Age]]&lt;=40,"30-40",IF(HR_Data[[#This Row],[Age]]&lt;=50,"41-50","50+")))</f>
        <v>30-40</v>
      </c>
      <c r="AK890" t="str">
        <f>IF(HR_Data[[#This Row],[MonthlyIncome]]&lt;4000,"Low",IF(HR_Data[[#This Row],[MonthlyIncome]]&lt;=7000,"Medium","High"))</f>
        <v>High</v>
      </c>
      <c r="AL890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891" spans="1:38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tr">
        <f>IF(HR_Data[[#This Row],[Age]]&lt;30,"Under 30",IF(HR_Data[[#This Row],[Age]]&lt;=40,"30-40",IF(HR_Data[[#This Row],[Age]]&lt;=50,"41-50","50+")))</f>
        <v>Under 30</v>
      </c>
      <c r="AK891" t="str">
        <f>IF(HR_Data[[#This Row],[MonthlyIncome]]&lt;4000,"Low",IF(HR_Data[[#This Row],[MonthlyIncome]]&lt;=7000,"Medium","High"))</f>
        <v>Low</v>
      </c>
      <c r="AL89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92" spans="1:38" hidden="1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tr">
        <f>IF(HR_Data[[#This Row],[Age]]&lt;30,"Under 30",IF(HR_Data[[#This Row],[Age]]&lt;=40,"30-40",IF(HR_Data[[#This Row],[Age]]&lt;=50,"41-50","50+")))</f>
        <v>50+</v>
      </c>
      <c r="AK892" t="str">
        <f>IF(HR_Data[[#This Row],[MonthlyIncome]]&lt;4000,"Low",IF(HR_Data[[#This Row],[MonthlyIncome]]&lt;=7000,"Medium","High"))</f>
        <v>High</v>
      </c>
      <c r="AL89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93" spans="1:38" hidden="1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tr">
        <f>IF(HR_Data[[#This Row],[Age]]&lt;30,"Under 30",IF(HR_Data[[#This Row],[Age]]&lt;=40,"30-40",IF(HR_Data[[#This Row],[Age]]&lt;=50,"41-50","50+")))</f>
        <v>41-50</v>
      </c>
      <c r="AK893" t="str">
        <f>IF(HR_Data[[#This Row],[MonthlyIncome]]&lt;4000,"Low",IF(HR_Data[[#This Row],[MonthlyIncome]]&lt;=7000,"Medium","High"))</f>
        <v>Low</v>
      </c>
      <c r="AL89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94" spans="1:38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tr">
        <f>IF(HR_Data[[#This Row],[Age]]&lt;30,"Under 30",IF(HR_Data[[#This Row],[Age]]&lt;=40,"30-40",IF(HR_Data[[#This Row],[Age]]&lt;=50,"41-50","50+")))</f>
        <v>Under 30</v>
      </c>
      <c r="AK894" t="str">
        <f>IF(HR_Data[[#This Row],[MonthlyIncome]]&lt;4000,"Low",IF(HR_Data[[#This Row],[MonthlyIncome]]&lt;=7000,"Medium","High"))</f>
        <v>Low</v>
      </c>
      <c r="AL894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895" spans="1:38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tr">
        <f>IF(HR_Data[[#This Row],[Age]]&lt;30,"Under 30",IF(HR_Data[[#This Row],[Age]]&lt;=40,"30-40",IF(HR_Data[[#This Row],[Age]]&lt;=50,"41-50","50+")))</f>
        <v>Under 30</v>
      </c>
      <c r="AK895" t="str">
        <f>IF(HR_Data[[#This Row],[MonthlyIncome]]&lt;4000,"Low",IF(HR_Data[[#This Row],[MonthlyIncome]]&lt;=7000,"Medium","High"))</f>
        <v>Low</v>
      </c>
      <c r="AL89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896" spans="1:38" hidden="1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tr">
        <f>IF(HR_Data[[#This Row],[Age]]&lt;30,"Under 30",IF(HR_Data[[#This Row],[Age]]&lt;=40,"30-40",IF(HR_Data[[#This Row],[Age]]&lt;=50,"41-50","50+")))</f>
        <v>50+</v>
      </c>
      <c r="AK896" t="str">
        <f>IF(HR_Data[[#This Row],[MonthlyIncome]]&lt;4000,"Low",IF(HR_Data[[#This Row],[MonthlyIncome]]&lt;=7000,"Medium","High"))</f>
        <v>High</v>
      </c>
      <c r="AL89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97" spans="1:38" hidden="1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tr">
        <f>IF(HR_Data[[#This Row],[Age]]&lt;30,"Under 30",IF(HR_Data[[#This Row],[Age]]&lt;=40,"30-40",IF(HR_Data[[#This Row],[Age]]&lt;=50,"41-50","50+")))</f>
        <v>30-40</v>
      </c>
      <c r="AK897" t="str">
        <f>IF(HR_Data[[#This Row],[MonthlyIncome]]&lt;4000,"Low",IF(HR_Data[[#This Row],[MonthlyIncome]]&lt;=7000,"Medium","High"))</f>
        <v>Medium</v>
      </c>
      <c r="AL89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98" spans="1:38" hidden="1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tr">
        <f>IF(HR_Data[[#This Row],[Age]]&lt;30,"Under 30",IF(HR_Data[[#This Row],[Age]]&lt;=40,"30-40",IF(HR_Data[[#This Row],[Age]]&lt;=50,"41-50","50+")))</f>
        <v>30-40</v>
      </c>
      <c r="AK898" t="str">
        <f>IF(HR_Data[[#This Row],[MonthlyIncome]]&lt;4000,"Low",IF(HR_Data[[#This Row],[MonthlyIncome]]&lt;=7000,"Medium","High"))</f>
        <v>Medium</v>
      </c>
      <c r="AL89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899" spans="1:38" hidden="1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tr">
        <f>IF(HR_Data[[#This Row],[Age]]&lt;30,"Under 30",IF(HR_Data[[#This Row],[Age]]&lt;=40,"30-40",IF(HR_Data[[#This Row],[Age]]&lt;=50,"41-50","50+")))</f>
        <v>50+</v>
      </c>
      <c r="AK899" t="str">
        <f>IF(HR_Data[[#This Row],[MonthlyIncome]]&lt;4000,"Low",IF(HR_Data[[#This Row],[MonthlyIncome]]&lt;=7000,"Medium","High"))</f>
        <v>Medium</v>
      </c>
      <c r="AL899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00" spans="1:38" hidden="1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tr">
        <f>IF(HR_Data[[#This Row],[Age]]&lt;30,"Under 30",IF(HR_Data[[#This Row],[Age]]&lt;=40,"30-40",IF(HR_Data[[#This Row],[Age]]&lt;=50,"41-50","50+")))</f>
        <v>41-50</v>
      </c>
      <c r="AK900" t="str">
        <f>IF(HR_Data[[#This Row],[MonthlyIncome]]&lt;4000,"Low",IF(HR_Data[[#This Row],[MonthlyIncome]]&lt;=7000,"Medium","High"))</f>
        <v>High</v>
      </c>
      <c r="AL90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01" spans="1:38" hidden="1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tr">
        <f>IF(HR_Data[[#This Row],[Age]]&lt;30,"Under 30",IF(HR_Data[[#This Row],[Age]]&lt;=40,"30-40",IF(HR_Data[[#This Row],[Age]]&lt;=50,"41-50","50+")))</f>
        <v>41-50</v>
      </c>
      <c r="AK901" t="str">
        <f>IF(HR_Data[[#This Row],[MonthlyIncome]]&lt;4000,"Low",IF(HR_Data[[#This Row],[MonthlyIncome]]&lt;=7000,"Medium","High"))</f>
        <v>High</v>
      </c>
      <c r="AL901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902" spans="1:38" hidden="1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tr">
        <f>IF(HR_Data[[#This Row],[Age]]&lt;30,"Under 30",IF(HR_Data[[#This Row],[Age]]&lt;=40,"30-40",IF(HR_Data[[#This Row],[Age]]&lt;=50,"41-50","50+")))</f>
        <v>30-40</v>
      </c>
      <c r="AK902" t="str">
        <f>IF(HR_Data[[#This Row],[MonthlyIncome]]&lt;4000,"Low",IF(HR_Data[[#This Row],[MonthlyIncome]]&lt;=7000,"Medium","High"))</f>
        <v>Low</v>
      </c>
      <c r="AL902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903" spans="1:38" hidden="1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tr">
        <f>IF(HR_Data[[#This Row],[Age]]&lt;30,"Under 30",IF(HR_Data[[#This Row],[Age]]&lt;=40,"30-40",IF(HR_Data[[#This Row],[Age]]&lt;=50,"41-50","50+")))</f>
        <v>41-50</v>
      </c>
      <c r="AK903" t="str">
        <f>IF(HR_Data[[#This Row],[MonthlyIncome]]&lt;4000,"Low",IF(HR_Data[[#This Row],[MonthlyIncome]]&lt;=7000,"Medium","High"))</f>
        <v>Low</v>
      </c>
      <c r="AL903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904" spans="1:38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tr">
        <f>IF(HR_Data[[#This Row],[Age]]&lt;30,"Under 30",IF(HR_Data[[#This Row],[Age]]&lt;=40,"30-40",IF(HR_Data[[#This Row],[Age]]&lt;=50,"41-50","50+")))</f>
        <v>Under 30</v>
      </c>
      <c r="AK904" t="str">
        <f>IF(HR_Data[[#This Row],[MonthlyIncome]]&lt;4000,"Low",IF(HR_Data[[#This Row],[MonthlyIncome]]&lt;=7000,"Medium","High"))</f>
        <v>Low</v>
      </c>
      <c r="AL90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905" spans="1:38" hidden="1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tr">
        <f>IF(HR_Data[[#This Row],[Age]]&lt;30,"Under 30",IF(HR_Data[[#This Row],[Age]]&lt;=40,"30-40",IF(HR_Data[[#This Row],[Age]]&lt;=50,"41-50","50+")))</f>
        <v>Under 30</v>
      </c>
      <c r="AK905" t="str">
        <f>IF(HR_Data[[#This Row],[MonthlyIncome]]&lt;4000,"Low",IF(HR_Data[[#This Row],[MonthlyIncome]]&lt;=7000,"Medium","High"))</f>
        <v>Medium</v>
      </c>
      <c r="AL90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06" spans="1:38" hidden="1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tr">
        <f>IF(HR_Data[[#This Row],[Age]]&lt;30,"Under 30",IF(HR_Data[[#This Row],[Age]]&lt;=40,"30-40",IF(HR_Data[[#This Row],[Age]]&lt;=50,"41-50","50+")))</f>
        <v>41-50</v>
      </c>
      <c r="AK906" t="str">
        <f>IF(HR_Data[[#This Row],[MonthlyIncome]]&lt;4000,"Low",IF(HR_Data[[#This Row],[MonthlyIncome]]&lt;=7000,"Medium","High"))</f>
        <v>High</v>
      </c>
      <c r="AL906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907" spans="1:38" hidden="1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tr">
        <f>IF(HR_Data[[#This Row],[Age]]&lt;30,"Under 30",IF(HR_Data[[#This Row],[Age]]&lt;=40,"30-40",IF(HR_Data[[#This Row],[Age]]&lt;=50,"41-50","50+")))</f>
        <v>Under 30</v>
      </c>
      <c r="AK907" t="str">
        <f>IF(HR_Data[[#This Row],[MonthlyIncome]]&lt;4000,"Low",IF(HR_Data[[#This Row],[MonthlyIncome]]&lt;=7000,"Medium","High"))</f>
        <v>High</v>
      </c>
      <c r="AL90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08" spans="1:38" hidden="1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tr">
        <f>IF(HR_Data[[#This Row],[Age]]&lt;30,"Under 30",IF(HR_Data[[#This Row],[Age]]&lt;=40,"30-40",IF(HR_Data[[#This Row],[Age]]&lt;=50,"41-50","50+")))</f>
        <v>30-40</v>
      </c>
      <c r="AK908" t="str">
        <f>IF(HR_Data[[#This Row],[MonthlyIncome]]&lt;4000,"Low",IF(HR_Data[[#This Row],[MonthlyIncome]]&lt;=7000,"Medium","High"))</f>
        <v>Low</v>
      </c>
      <c r="AL908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909" spans="1:38" hidden="1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tr">
        <f>IF(HR_Data[[#This Row],[Age]]&lt;30,"Under 30",IF(HR_Data[[#This Row],[Age]]&lt;=40,"30-40",IF(HR_Data[[#This Row],[Age]]&lt;=50,"41-50","50+")))</f>
        <v>41-50</v>
      </c>
      <c r="AK909" t="str">
        <f>IF(HR_Data[[#This Row],[MonthlyIncome]]&lt;4000,"Low",IF(HR_Data[[#This Row],[MonthlyIncome]]&lt;=7000,"Medium","High"))</f>
        <v>High</v>
      </c>
      <c r="AL909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910" spans="1:38" hidden="1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tr">
        <f>IF(HR_Data[[#This Row],[Age]]&lt;30,"Under 30",IF(HR_Data[[#This Row],[Age]]&lt;=40,"30-40",IF(HR_Data[[#This Row],[Age]]&lt;=50,"41-50","50+")))</f>
        <v>30-40</v>
      </c>
      <c r="AK910" t="str">
        <f>IF(HR_Data[[#This Row],[MonthlyIncome]]&lt;4000,"Low",IF(HR_Data[[#This Row],[MonthlyIncome]]&lt;=7000,"Medium","High"))</f>
        <v>High</v>
      </c>
      <c r="AL91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11" spans="1:38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tr">
        <f>IF(HR_Data[[#This Row],[Age]]&lt;30,"Under 30",IF(HR_Data[[#This Row],[Age]]&lt;=40,"30-40",IF(HR_Data[[#This Row],[Age]]&lt;=50,"41-50","50+")))</f>
        <v>Under 30</v>
      </c>
      <c r="AK911" t="str">
        <f>IF(HR_Data[[#This Row],[MonthlyIncome]]&lt;4000,"Low",IF(HR_Data[[#This Row],[MonthlyIncome]]&lt;=7000,"Medium","High"))</f>
        <v>Low</v>
      </c>
      <c r="AL911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912" spans="1:38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tr">
        <f>IF(HR_Data[[#This Row],[Age]]&lt;30,"Under 30",IF(HR_Data[[#This Row],[Age]]&lt;=40,"30-40",IF(HR_Data[[#This Row],[Age]]&lt;=50,"41-50","50+")))</f>
        <v>Under 30</v>
      </c>
      <c r="AK912" t="str">
        <f>IF(HR_Data[[#This Row],[MonthlyIncome]]&lt;4000,"Low",IF(HR_Data[[#This Row],[MonthlyIncome]]&lt;=7000,"Medium","High"))</f>
        <v>Low</v>
      </c>
      <c r="AL912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913" spans="1:38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tr">
        <f>IF(HR_Data[[#This Row],[Age]]&lt;30,"Under 30",IF(HR_Data[[#This Row],[Age]]&lt;=40,"30-40",IF(HR_Data[[#This Row],[Age]]&lt;=50,"41-50","50+")))</f>
        <v>Under 30</v>
      </c>
      <c r="AK913" t="str">
        <f>IF(HR_Data[[#This Row],[MonthlyIncome]]&lt;4000,"Low",IF(HR_Data[[#This Row],[MonthlyIncome]]&lt;=7000,"Medium","High"))</f>
        <v>Low</v>
      </c>
      <c r="AL913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914" spans="1:38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tr">
        <f>IF(HR_Data[[#This Row],[Age]]&lt;30,"Under 30",IF(HR_Data[[#This Row],[Age]]&lt;=40,"30-40",IF(HR_Data[[#This Row],[Age]]&lt;=50,"41-50","50+")))</f>
        <v>Under 30</v>
      </c>
      <c r="AK914" t="str">
        <f>IF(HR_Data[[#This Row],[MonthlyIncome]]&lt;4000,"Low",IF(HR_Data[[#This Row],[MonthlyIncome]]&lt;=7000,"Medium","High"))</f>
        <v>Low</v>
      </c>
      <c r="AL91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15" spans="1:38" hidden="1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tr">
        <f>IF(HR_Data[[#This Row],[Age]]&lt;30,"Under 30",IF(HR_Data[[#This Row],[Age]]&lt;=40,"30-40",IF(HR_Data[[#This Row],[Age]]&lt;=50,"41-50","50+")))</f>
        <v>41-50</v>
      </c>
      <c r="AK915" t="str">
        <f>IF(HR_Data[[#This Row],[MonthlyIncome]]&lt;4000,"Low",IF(HR_Data[[#This Row],[MonthlyIncome]]&lt;=7000,"Medium","High"))</f>
        <v>High</v>
      </c>
      <c r="AL915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916" spans="1:38" hidden="1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tr">
        <f>IF(HR_Data[[#This Row],[Age]]&lt;30,"Under 30",IF(HR_Data[[#This Row],[Age]]&lt;=40,"30-40",IF(HR_Data[[#This Row],[Age]]&lt;=50,"41-50","50+")))</f>
        <v>50+</v>
      </c>
      <c r="AK916" t="str">
        <f>IF(HR_Data[[#This Row],[MonthlyIncome]]&lt;4000,"Low",IF(HR_Data[[#This Row],[MonthlyIncome]]&lt;=7000,"Medium","High"))</f>
        <v>High</v>
      </c>
      <c r="AL916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917" spans="1:38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tr">
        <f>IF(HR_Data[[#This Row],[Age]]&lt;30,"Under 30",IF(HR_Data[[#This Row],[Age]]&lt;=40,"30-40",IF(HR_Data[[#This Row],[Age]]&lt;=50,"41-50","50+")))</f>
        <v>Under 30</v>
      </c>
      <c r="AK917" t="str">
        <f>IF(HR_Data[[#This Row],[MonthlyIncome]]&lt;4000,"Low",IF(HR_Data[[#This Row],[MonthlyIncome]]&lt;=7000,"Medium","High"))</f>
        <v>Low</v>
      </c>
      <c r="AL91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918" spans="1:38" hidden="1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tr">
        <f>IF(HR_Data[[#This Row],[Age]]&lt;30,"Under 30",IF(HR_Data[[#This Row],[Age]]&lt;=40,"30-40",IF(HR_Data[[#This Row],[Age]]&lt;=50,"41-50","50+")))</f>
        <v>41-50</v>
      </c>
      <c r="AK918" t="str">
        <f>IF(HR_Data[[#This Row],[MonthlyIncome]]&lt;4000,"Low",IF(HR_Data[[#This Row],[MonthlyIncome]]&lt;=7000,"Medium","High"))</f>
        <v>High</v>
      </c>
      <c r="AL918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919" spans="1:38" hidden="1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tr">
        <f>IF(HR_Data[[#This Row],[Age]]&lt;30,"Under 30",IF(HR_Data[[#This Row],[Age]]&lt;=40,"30-40",IF(HR_Data[[#This Row],[Age]]&lt;=50,"41-50","50+")))</f>
        <v>30-40</v>
      </c>
      <c r="AK919" t="str">
        <f>IF(HR_Data[[#This Row],[MonthlyIncome]]&lt;4000,"Low",IF(HR_Data[[#This Row],[MonthlyIncome]]&lt;=7000,"Medium","High"))</f>
        <v>Medium</v>
      </c>
      <c r="AL91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920" spans="1:38" hidden="1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tr">
        <f>IF(HR_Data[[#This Row],[Age]]&lt;30,"Under 30",IF(HR_Data[[#This Row],[Age]]&lt;=40,"30-40",IF(HR_Data[[#This Row],[Age]]&lt;=50,"41-50","50+")))</f>
        <v>50+</v>
      </c>
      <c r="AK920" t="str">
        <f>IF(HR_Data[[#This Row],[MonthlyIncome]]&lt;4000,"Low",IF(HR_Data[[#This Row],[MonthlyIncome]]&lt;=7000,"Medium","High"))</f>
        <v>High</v>
      </c>
      <c r="AL920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921" spans="1:38" hidden="1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tr">
        <f>IF(HR_Data[[#This Row],[Age]]&lt;30,"Under 30",IF(HR_Data[[#This Row],[Age]]&lt;=40,"30-40",IF(HR_Data[[#This Row],[Age]]&lt;=50,"41-50","50+")))</f>
        <v>50+</v>
      </c>
      <c r="AK921" t="str">
        <f>IF(HR_Data[[#This Row],[MonthlyIncome]]&lt;4000,"Low",IF(HR_Data[[#This Row],[MonthlyIncome]]&lt;=7000,"Medium","High"))</f>
        <v>High</v>
      </c>
      <c r="AL92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22" spans="1:38" hidden="1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tr">
        <f>IF(HR_Data[[#This Row],[Age]]&lt;30,"Under 30",IF(HR_Data[[#This Row],[Age]]&lt;=40,"30-40",IF(HR_Data[[#This Row],[Age]]&lt;=50,"41-50","50+")))</f>
        <v>30-40</v>
      </c>
      <c r="AK922" t="str">
        <f>IF(HR_Data[[#This Row],[MonthlyIncome]]&lt;4000,"Low",IF(HR_Data[[#This Row],[MonthlyIncome]]&lt;=7000,"Medium","High"))</f>
        <v>Medium</v>
      </c>
      <c r="AL922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923" spans="1:38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tr">
        <f>IF(HR_Data[[#This Row],[Age]]&lt;30,"Under 30",IF(HR_Data[[#This Row],[Age]]&lt;=40,"30-40",IF(HR_Data[[#This Row],[Age]]&lt;=50,"41-50","50+")))</f>
        <v>Under 30</v>
      </c>
      <c r="AK923" t="str">
        <f>IF(HR_Data[[#This Row],[MonthlyIncome]]&lt;4000,"Low",IF(HR_Data[[#This Row],[MonthlyIncome]]&lt;=7000,"Medium","High"))</f>
        <v>Low</v>
      </c>
      <c r="AL92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924" spans="1:38" hidden="1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tr">
        <f>IF(HR_Data[[#This Row],[Age]]&lt;30,"Under 30",IF(HR_Data[[#This Row],[Age]]&lt;=40,"30-40",IF(HR_Data[[#This Row],[Age]]&lt;=50,"41-50","50+")))</f>
        <v>41-50</v>
      </c>
      <c r="AK924" t="str">
        <f>IF(HR_Data[[#This Row],[MonthlyIncome]]&lt;4000,"Low",IF(HR_Data[[#This Row],[MonthlyIncome]]&lt;=7000,"Medium","High"))</f>
        <v>High</v>
      </c>
      <c r="AL924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925" spans="1:38" hidden="1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tr">
        <f>IF(HR_Data[[#This Row],[Age]]&lt;30,"Under 30",IF(HR_Data[[#This Row],[Age]]&lt;=40,"30-40",IF(HR_Data[[#This Row],[Age]]&lt;=50,"41-50","50+")))</f>
        <v>30-40</v>
      </c>
      <c r="AK925" t="str">
        <f>IF(HR_Data[[#This Row],[MonthlyIncome]]&lt;4000,"Low",IF(HR_Data[[#This Row],[MonthlyIncome]]&lt;=7000,"Medium","High"))</f>
        <v>Medium</v>
      </c>
      <c r="AL92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26" spans="1:38" hidden="1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tr">
        <f>IF(HR_Data[[#This Row],[Age]]&lt;30,"Under 30",IF(HR_Data[[#This Row],[Age]]&lt;=40,"30-40",IF(HR_Data[[#This Row],[Age]]&lt;=50,"41-50","50+")))</f>
        <v>30-40</v>
      </c>
      <c r="AK926" t="str">
        <f>IF(HR_Data[[#This Row],[MonthlyIncome]]&lt;4000,"Low",IF(HR_Data[[#This Row],[MonthlyIncome]]&lt;=7000,"Medium","High"))</f>
        <v>Low</v>
      </c>
      <c r="AL92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927" spans="1:38" hidden="1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tr">
        <f>IF(HR_Data[[#This Row],[Age]]&lt;30,"Under 30",IF(HR_Data[[#This Row],[Age]]&lt;=40,"30-40",IF(HR_Data[[#This Row],[Age]]&lt;=50,"41-50","50+")))</f>
        <v>41-50</v>
      </c>
      <c r="AK927" t="str">
        <f>IF(HR_Data[[#This Row],[MonthlyIncome]]&lt;4000,"Low",IF(HR_Data[[#This Row],[MonthlyIncome]]&lt;=7000,"Medium","High"))</f>
        <v>Low</v>
      </c>
      <c r="AL927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928" spans="1:38" hidden="1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tr">
        <f>IF(HR_Data[[#This Row],[Age]]&lt;30,"Under 30",IF(HR_Data[[#This Row],[Age]]&lt;=40,"30-40",IF(HR_Data[[#This Row],[Age]]&lt;=50,"41-50","50+")))</f>
        <v>41-50</v>
      </c>
      <c r="AK928" t="str">
        <f>IF(HR_Data[[#This Row],[MonthlyIncome]]&lt;4000,"Low",IF(HR_Data[[#This Row],[MonthlyIncome]]&lt;=7000,"Medium","High"))</f>
        <v>High</v>
      </c>
      <c r="AL928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929" spans="1:38" hidden="1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tr">
        <f>IF(HR_Data[[#This Row],[Age]]&lt;30,"Under 30",IF(HR_Data[[#This Row],[Age]]&lt;=40,"30-40",IF(HR_Data[[#This Row],[Age]]&lt;=50,"41-50","50+")))</f>
        <v>30-40</v>
      </c>
      <c r="AK929" t="str">
        <f>IF(HR_Data[[#This Row],[MonthlyIncome]]&lt;4000,"Low",IF(HR_Data[[#This Row],[MonthlyIncome]]&lt;=7000,"Medium","High"))</f>
        <v>Medium</v>
      </c>
      <c r="AL929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930" spans="1:38" hidden="1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tr">
        <f>IF(HR_Data[[#This Row],[Age]]&lt;30,"Under 30",IF(HR_Data[[#This Row],[Age]]&lt;=40,"30-40",IF(HR_Data[[#This Row],[Age]]&lt;=50,"41-50","50+")))</f>
        <v>41-50</v>
      </c>
      <c r="AK930" t="str">
        <f>IF(HR_Data[[#This Row],[MonthlyIncome]]&lt;4000,"Low",IF(HR_Data[[#This Row],[MonthlyIncome]]&lt;=7000,"Medium","High"))</f>
        <v>High</v>
      </c>
      <c r="AL93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31" spans="1:38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tr">
        <f>IF(HR_Data[[#This Row],[Age]]&lt;30,"Under 30",IF(HR_Data[[#This Row],[Age]]&lt;=40,"30-40",IF(HR_Data[[#This Row],[Age]]&lt;=50,"41-50","50+")))</f>
        <v>Under 30</v>
      </c>
      <c r="AK931" t="str">
        <f>IF(HR_Data[[#This Row],[MonthlyIncome]]&lt;4000,"Low",IF(HR_Data[[#This Row],[MonthlyIncome]]&lt;=7000,"Medium","High"))</f>
        <v>Low</v>
      </c>
      <c r="AL93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932" spans="1:38" hidden="1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tr">
        <f>IF(HR_Data[[#This Row],[Age]]&lt;30,"Under 30",IF(HR_Data[[#This Row],[Age]]&lt;=40,"30-40",IF(HR_Data[[#This Row],[Age]]&lt;=50,"41-50","50+")))</f>
        <v>50+</v>
      </c>
      <c r="AK932" t="str">
        <f>IF(HR_Data[[#This Row],[MonthlyIncome]]&lt;4000,"Low",IF(HR_Data[[#This Row],[MonthlyIncome]]&lt;=7000,"Medium","High"))</f>
        <v>Low</v>
      </c>
      <c r="AL93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33" spans="1:38" hidden="1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tr">
        <f>IF(HR_Data[[#This Row],[Age]]&lt;30,"Under 30",IF(HR_Data[[#This Row],[Age]]&lt;=40,"30-40",IF(HR_Data[[#This Row],[Age]]&lt;=50,"41-50","50+")))</f>
        <v>30-40</v>
      </c>
      <c r="AK933" t="str">
        <f>IF(HR_Data[[#This Row],[MonthlyIncome]]&lt;4000,"Low",IF(HR_Data[[#This Row],[MonthlyIncome]]&lt;=7000,"Medium","High"))</f>
        <v>Medium</v>
      </c>
      <c r="AL93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34" spans="1:38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tr">
        <f>IF(HR_Data[[#This Row],[Age]]&lt;30,"Under 30",IF(HR_Data[[#This Row],[Age]]&lt;=40,"30-40",IF(HR_Data[[#This Row],[Age]]&lt;=50,"41-50","50+")))</f>
        <v>Under 30</v>
      </c>
      <c r="AK934" t="str">
        <f>IF(HR_Data[[#This Row],[MonthlyIncome]]&lt;4000,"Low",IF(HR_Data[[#This Row],[MonthlyIncome]]&lt;=7000,"Medium","High"))</f>
        <v>Low</v>
      </c>
      <c r="AL93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35" spans="1:38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tr">
        <f>IF(HR_Data[[#This Row],[Age]]&lt;30,"Under 30",IF(HR_Data[[#This Row],[Age]]&lt;=40,"30-40",IF(HR_Data[[#This Row],[Age]]&lt;=50,"41-50","50+")))</f>
        <v>Under 30</v>
      </c>
      <c r="AK935" t="str">
        <f>IF(HR_Data[[#This Row],[MonthlyIncome]]&lt;4000,"Low",IF(HR_Data[[#This Row],[MonthlyIncome]]&lt;=7000,"Medium","High"))</f>
        <v>Low</v>
      </c>
      <c r="AL93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936" spans="1:38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tr">
        <f>IF(HR_Data[[#This Row],[Age]]&lt;30,"Under 30",IF(HR_Data[[#This Row],[Age]]&lt;=40,"30-40",IF(HR_Data[[#This Row],[Age]]&lt;=50,"41-50","50+")))</f>
        <v>Under 30</v>
      </c>
      <c r="AK936" t="str">
        <f>IF(HR_Data[[#This Row],[MonthlyIncome]]&lt;4000,"Low",IF(HR_Data[[#This Row],[MonthlyIncome]]&lt;=7000,"Medium","High"))</f>
        <v>Low</v>
      </c>
      <c r="AL93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937" spans="1:38" hidden="1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tr">
        <f>IF(HR_Data[[#This Row],[Age]]&lt;30,"Under 30",IF(HR_Data[[#This Row],[Age]]&lt;=40,"30-40",IF(HR_Data[[#This Row],[Age]]&lt;=50,"41-50","50+")))</f>
        <v>30-40</v>
      </c>
      <c r="AK937" t="str">
        <f>IF(HR_Data[[#This Row],[MonthlyIncome]]&lt;4000,"Low",IF(HR_Data[[#This Row],[MonthlyIncome]]&lt;=7000,"Medium","High"))</f>
        <v>Medium</v>
      </c>
      <c r="AL93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38" spans="1:38" hidden="1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tr">
        <f>IF(HR_Data[[#This Row],[Age]]&lt;30,"Under 30",IF(HR_Data[[#This Row],[Age]]&lt;=40,"30-40",IF(HR_Data[[#This Row],[Age]]&lt;=50,"41-50","50+")))</f>
        <v>41-50</v>
      </c>
      <c r="AK938" t="str">
        <f>IF(HR_Data[[#This Row],[MonthlyIncome]]&lt;4000,"Low",IF(HR_Data[[#This Row],[MonthlyIncome]]&lt;=7000,"Medium","High"))</f>
        <v>High</v>
      </c>
      <c r="AL938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939" spans="1:38" hidden="1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tr">
        <f>IF(HR_Data[[#This Row],[Age]]&lt;30,"Under 30",IF(HR_Data[[#This Row],[Age]]&lt;=40,"30-40",IF(HR_Data[[#This Row],[Age]]&lt;=50,"41-50","50+")))</f>
        <v>30-40</v>
      </c>
      <c r="AK939" t="str">
        <f>IF(HR_Data[[#This Row],[MonthlyIncome]]&lt;4000,"Low",IF(HR_Data[[#This Row],[MonthlyIncome]]&lt;=7000,"Medium","High"))</f>
        <v>High</v>
      </c>
      <c r="AL939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940" spans="1:38" hidden="1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tr">
        <f>IF(HR_Data[[#This Row],[Age]]&lt;30,"Under 30",IF(HR_Data[[#This Row],[Age]]&lt;=40,"30-40",IF(HR_Data[[#This Row],[Age]]&lt;=50,"41-50","50+")))</f>
        <v>50+</v>
      </c>
      <c r="AK940" t="str">
        <f>IF(HR_Data[[#This Row],[MonthlyIncome]]&lt;4000,"Low",IF(HR_Data[[#This Row],[MonthlyIncome]]&lt;=7000,"Medium","High"))</f>
        <v>Low</v>
      </c>
      <c r="AL94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941" spans="1:38" hidden="1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tr">
        <f>IF(HR_Data[[#This Row],[Age]]&lt;30,"Under 30",IF(HR_Data[[#This Row],[Age]]&lt;=40,"30-40",IF(HR_Data[[#This Row],[Age]]&lt;=50,"41-50","50+")))</f>
        <v>30-40</v>
      </c>
      <c r="AK941" t="str">
        <f>IF(HR_Data[[#This Row],[MonthlyIncome]]&lt;4000,"Low",IF(HR_Data[[#This Row],[MonthlyIncome]]&lt;=7000,"Medium","High"))</f>
        <v>Medium</v>
      </c>
      <c r="AL94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42" spans="1:38" hidden="1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tr">
        <f>IF(HR_Data[[#This Row],[Age]]&lt;30,"Under 30",IF(HR_Data[[#This Row],[Age]]&lt;=40,"30-40",IF(HR_Data[[#This Row],[Age]]&lt;=50,"41-50","50+")))</f>
        <v>30-40</v>
      </c>
      <c r="AK942" t="str">
        <f>IF(HR_Data[[#This Row],[MonthlyIncome]]&lt;4000,"Low",IF(HR_Data[[#This Row],[MonthlyIncome]]&lt;=7000,"Medium","High"))</f>
        <v>Low</v>
      </c>
      <c r="AL94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943" spans="1:38" hidden="1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tr">
        <f>IF(HR_Data[[#This Row],[Age]]&lt;30,"Under 30",IF(HR_Data[[#This Row],[Age]]&lt;=40,"30-40",IF(HR_Data[[#This Row],[Age]]&lt;=50,"41-50","50+")))</f>
        <v>30-40</v>
      </c>
      <c r="AK943" t="str">
        <f>IF(HR_Data[[#This Row],[MonthlyIncome]]&lt;4000,"Low",IF(HR_Data[[#This Row],[MonthlyIncome]]&lt;=7000,"Medium","High"))</f>
        <v>Medium</v>
      </c>
      <c r="AL94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44" spans="1:38" hidden="1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tr">
        <f>IF(HR_Data[[#This Row],[Age]]&lt;30,"Under 30",IF(HR_Data[[#This Row],[Age]]&lt;=40,"30-40",IF(HR_Data[[#This Row],[Age]]&lt;=50,"41-50","50+")))</f>
        <v>30-40</v>
      </c>
      <c r="AK944" t="str">
        <f>IF(HR_Data[[#This Row],[MonthlyIncome]]&lt;4000,"Low",IF(HR_Data[[#This Row],[MonthlyIncome]]&lt;=7000,"Medium","High"))</f>
        <v>High</v>
      </c>
      <c r="AL94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45" spans="1:38" hidden="1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tr">
        <f>IF(HR_Data[[#This Row],[Age]]&lt;30,"Under 30",IF(HR_Data[[#This Row],[Age]]&lt;=40,"30-40",IF(HR_Data[[#This Row],[Age]]&lt;=50,"41-50","50+")))</f>
        <v>41-50</v>
      </c>
      <c r="AK945" t="str">
        <f>IF(HR_Data[[#This Row],[MonthlyIncome]]&lt;4000,"Low",IF(HR_Data[[#This Row],[MonthlyIncome]]&lt;=7000,"Medium","High"))</f>
        <v>Low</v>
      </c>
      <c r="AL94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46" spans="1:38" hidden="1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tr">
        <f>IF(HR_Data[[#This Row],[Age]]&lt;30,"Under 30",IF(HR_Data[[#This Row],[Age]]&lt;=40,"30-40",IF(HR_Data[[#This Row],[Age]]&lt;=50,"41-50","50+")))</f>
        <v>Under 30</v>
      </c>
      <c r="AK946" t="str">
        <f>IF(HR_Data[[#This Row],[MonthlyIncome]]&lt;4000,"Low",IF(HR_Data[[#This Row],[MonthlyIncome]]&lt;=7000,"Medium","High"))</f>
        <v>Medium</v>
      </c>
      <c r="AL94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47" spans="1:38" hidden="1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tr">
        <f>IF(HR_Data[[#This Row],[Age]]&lt;30,"Under 30",IF(HR_Data[[#This Row],[Age]]&lt;=40,"30-40",IF(HR_Data[[#This Row],[Age]]&lt;=50,"41-50","50+")))</f>
        <v>41-50</v>
      </c>
      <c r="AK947" t="str">
        <f>IF(HR_Data[[#This Row],[MonthlyIncome]]&lt;4000,"Low",IF(HR_Data[[#This Row],[MonthlyIncome]]&lt;=7000,"Medium","High"))</f>
        <v>High</v>
      </c>
      <c r="AL94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948" spans="1:38" hidden="1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tr">
        <f>IF(HR_Data[[#This Row],[Age]]&lt;30,"Under 30",IF(HR_Data[[#This Row],[Age]]&lt;=40,"30-40",IF(HR_Data[[#This Row],[Age]]&lt;=50,"41-50","50+")))</f>
        <v>30-40</v>
      </c>
      <c r="AK948" t="str">
        <f>IF(HR_Data[[#This Row],[MonthlyIncome]]&lt;4000,"Low",IF(HR_Data[[#This Row],[MonthlyIncome]]&lt;=7000,"Medium","High"))</f>
        <v>High</v>
      </c>
      <c r="AL94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949" spans="1:38" hidden="1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tr">
        <f>IF(HR_Data[[#This Row],[Age]]&lt;30,"Under 30",IF(HR_Data[[#This Row],[Age]]&lt;=40,"30-40",IF(HR_Data[[#This Row],[Age]]&lt;=50,"41-50","50+")))</f>
        <v>50+</v>
      </c>
      <c r="AK949" t="str">
        <f>IF(HR_Data[[#This Row],[MonthlyIncome]]&lt;4000,"Low",IF(HR_Data[[#This Row],[MonthlyIncome]]&lt;=7000,"Medium","High"))</f>
        <v>High</v>
      </c>
      <c r="AL949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50" spans="1:38" hidden="1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tr">
        <f>IF(HR_Data[[#This Row],[Age]]&lt;30,"Under 30",IF(HR_Data[[#This Row],[Age]]&lt;=40,"30-40",IF(HR_Data[[#This Row],[Age]]&lt;=50,"41-50","50+")))</f>
        <v>30-40</v>
      </c>
      <c r="AK950" t="str">
        <f>IF(HR_Data[[#This Row],[MonthlyIncome]]&lt;4000,"Low",IF(HR_Data[[#This Row],[MonthlyIncome]]&lt;=7000,"Medium","High"))</f>
        <v>High</v>
      </c>
      <c r="AL95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51" spans="1:38" hidden="1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tr">
        <f>IF(HR_Data[[#This Row],[Age]]&lt;30,"Under 30",IF(HR_Data[[#This Row],[Age]]&lt;=40,"30-40",IF(HR_Data[[#This Row],[Age]]&lt;=50,"41-50","50+")))</f>
        <v>30-40</v>
      </c>
      <c r="AK951" t="str">
        <f>IF(HR_Data[[#This Row],[MonthlyIncome]]&lt;4000,"Low",IF(HR_Data[[#This Row],[MonthlyIncome]]&lt;=7000,"Medium","High"))</f>
        <v>Medium</v>
      </c>
      <c r="AL95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52" spans="1:38" hidden="1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tr">
        <f>IF(HR_Data[[#This Row],[Age]]&lt;30,"Under 30",IF(HR_Data[[#This Row],[Age]]&lt;=40,"30-40",IF(HR_Data[[#This Row],[Age]]&lt;=50,"41-50","50+")))</f>
        <v>30-40</v>
      </c>
      <c r="AK952" t="str">
        <f>IF(HR_Data[[#This Row],[MonthlyIncome]]&lt;4000,"Low",IF(HR_Data[[#This Row],[MonthlyIncome]]&lt;=7000,"Medium","High"))</f>
        <v>High</v>
      </c>
      <c r="AL95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53" spans="1:38" hidden="1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tr">
        <f>IF(HR_Data[[#This Row],[Age]]&lt;30,"Under 30",IF(HR_Data[[#This Row],[Age]]&lt;=40,"30-40",IF(HR_Data[[#This Row],[Age]]&lt;=50,"41-50","50+")))</f>
        <v>41-50</v>
      </c>
      <c r="AK953" t="str">
        <f>IF(HR_Data[[#This Row],[MonthlyIncome]]&lt;4000,"Low",IF(HR_Data[[#This Row],[MonthlyIncome]]&lt;=7000,"Medium","High"))</f>
        <v>Medium</v>
      </c>
      <c r="AL953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954" spans="1:38" hidden="1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tr">
        <f>IF(HR_Data[[#This Row],[Age]]&lt;30,"Under 30",IF(HR_Data[[#This Row],[Age]]&lt;=40,"30-40",IF(HR_Data[[#This Row],[Age]]&lt;=50,"41-50","50+")))</f>
        <v>30-40</v>
      </c>
      <c r="AK954" t="str">
        <f>IF(HR_Data[[#This Row],[MonthlyIncome]]&lt;4000,"Low",IF(HR_Data[[#This Row],[MonthlyIncome]]&lt;=7000,"Medium","High"))</f>
        <v>Low</v>
      </c>
      <c r="AL95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955" spans="1:38" hidden="1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tr">
        <f>IF(HR_Data[[#This Row],[Age]]&lt;30,"Under 30",IF(HR_Data[[#This Row],[Age]]&lt;=40,"30-40",IF(HR_Data[[#This Row],[Age]]&lt;=50,"41-50","50+")))</f>
        <v>41-50</v>
      </c>
      <c r="AK955" t="str">
        <f>IF(HR_Data[[#This Row],[MonthlyIncome]]&lt;4000,"Low",IF(HR_Data[[#This Row],[MonthlyIncome]]&lt;=7000,"Medium","High"))</f>
        <v>Low</v>
      </c>
      <c r="AL95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956" spans="1:38" hidden="1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tr">
        <f>IF(HR_Data[[#This Row],[Age]]&lt;30,"Under 30",IF(HR_Data[[#This Row],[Age]]&lt;=40,"30-40",IF(HR_Data[[#This Row],[Age]]&lt;=50,"41-50","50+")))</f>
        <v>41-50</v>
      </c>
      <c r="AK956" t="str">
        <f>IF(HR_Data[[#This Row],[MonthlyIncome]]&lt;4000,"Low",IF(HR_Data[[#This Row],[MonthlyIncome]]&lt;=7000,"Medium","High"))</f>
        <v>High</v>
      </c>
      <c r="AL956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957" spans="1:38" hidden="1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tr">
        <f>IF(HR_Data[[#This Row],[Age]]&lt;30,"Under 30",IF(HR_Data[[#This Row],[Age]]&lt;=40,"30-40",IF(HR_Data[[#This Row],[Age]]&lt;=50,"41-50","50+")))</f>
        <v>50+</v>
      </c>
      <c r="AK957" t="str">
        <f>IF(HR_Data[[#This Row],[MonthlyIncome]]&lt;4000,"Low",IF(HR_Data[[#This Row],[MonthlyIncome]]&lt;=7000,"Medium","High"))</f>
        <v>High</v>
      </c>
      <c r="AL957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958" spans="1:38" hidden="1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tr">
        <f>IF(HR_Data[[#This Row],[Age]]&lt;30,"Under 30",IF(HR_Data[[#This Row],[Age]]&lt;=40,"30-40",IF(HR_Data[[#This Row],[Age]]&lt;=50,"41-50","50+")))</f>
        <v>50+</v>
      </c>
      <c r="AK958" t="str">
        <f>IF(HR_Data[[#This Row],[MonthlyIncome]]&lt;4000,"Low",IF(HR_Data[[#This Row],[MonthlyIncome]]&lt;=7000,"Medium","High"))</f>
        <v>High</v>
      </c>
      <c r="AL95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59" spans="1:38" hidden="1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tr">
        <f>IF(HR_Data[[#This Row],[Age]]&lt;30,"Under 30",IF(HR_Data[[#This Row],[Age]]&lt;=40,"30-40",IF(HR_Data[[#This Row],[Age]]&lt;=50,"41-50","50+")))</f>
        <v>30-40</v>
      </c>
      <c r="AK959" t="str">
        <f>IF(HR_Data[[#This Row],[MonthlyIncome]]&lt;4000,"Low",IF(HR_Data[[#This Row],[MonthlyIncome]]&lt;=7000,"Medium","High"))</f>
        <v>Low</v>
      </c>
      <c r="AL95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960" spans="1:38" hidden="1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tr">
        <f>IF(HR_Data[[#This Row],[Age]]&lt;30,"Under 30",IF(HR_Data[[#This Row],[Age]]&lt;=40,"30-40",IF(HR_Data[[#This Row],[Age]]&lt;=50,"41-50","50+")))</f>
        <v>30-40</v>
      </c>
      <c r="AK960" t="str">
        <f>IF(HR_Data[[#This Row],[MonthlyIncome]]&lt;4000,"Low",IF(HR_Data[[#This Row],[MonthlyIncome]]&lt;=7000,"Medium","High"))</f>
        <v>High</v>
      </c>
      <c r="AL96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61" spans="1:38" hidden="1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tr">
        <f>IF(HR_Data[[#This Row],[Age]]&lt;30,"Under 30",IF(HR_Data[[#This Row],[Age]]&lt;=40,"30-40",IF(HR_Data[[#This Row],[Age]]&lt;=50,"41-50","50+")))</f>
        <v>30-40</v>
      </c>
      <c r="AK961" t="str">
        <f>IF(HR_Data[[#This Row],[MonthlyIncome]]&lt;4000,"Low",IF(HR_Data[[#This Row],[MonthlyIncome]]&lt;=7000,"Medium","High"))</f>
        <v>Medium</v>
      </c>
      <c r="AL96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62" spans="1:38" hidden="1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tr">
        <f>IF(HR_Data[[#This Row],[Age]]&lt;30,"Under 30",IF(HR_Data[[#This Row],[Age]]&lt;=40,"30-40",IF(HR_Data[[#This Row],[Age]]&lt;=50,"41-50","50+")))</f>
        <v>41-50</v>
      </c>
      <c r="AK962" t="str">
        <f>IF(HR_Data[[#This Row],[MonthlyIncome]]&lt;4000,"Low",IF(HR_Data[[#This Row],[MonthlyIncome]]&lt;=7000,"Medium","High"))</f>
        <v>Medium</v>
      </c>
      <c r="AL96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63" spans="1:38" hidden="1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tr">
        <f>IF(HR_Data[[#This Row],[Age]]&lt;30,"Under 30",IF(HR_Data[[#This Row],[Age]]&lt;=40,"30-40",IF(HR_Data[[#This Row],[Age]]&lt;=50,"41-50","50+")))</f>
        <v>30-40</v>
      </c>
      <c r="AK963" t="str">
        <f>IF(HR_Data[[#This Row],[MonthlyIncome]]&lt;4000,"Low",IF(HR_Data[[#This Row],[MonthlyIncome]]&lt;=7000,"Medium","High"))</f>
        <v>Medium</v>
      </c>
      <c r="AL96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64" spans="1:38" hidden="1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tr">
        <f>IF(HR_Data[[#This Row],[Age]]&lt;30,"Under 30",IF(HR_Data[[#This Row],[Age]]&lt;=40,"30-40",IF(HR_Data[[#This Row],[Age]]&lt;=50,"41-50","50+")))</f>
        <v>50+</v>
      </c>
      <c r="AK964" t="str">
        <f>IF(HR_Data[[#This Row],[MonthlyIncome]]&lt;4000,"Low",IF(HR_Data[[#This Row],[MonthlyIncome]]&lt;=7000,"Medium","High"))</f>
        <v>High</v>
      </c>
      <c r="AL964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965" spans="1:38" hidden="1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tr">
        <f>IF(HR_Data[[#This Row],[Age]]&lt;30,"Under 30",IF(HR_Data[[#This Row],[Age]]&lt;=40,"30-40",IF(HR_Data[[#This Row],[Age]]&lt;=50,"41-50","50+")))</f>
        <v>30-40</v>
      </c>
      <c r="AK965" t="str">
        <f>IF(HR_Data[[#This Row],[MonthlyIncome]]&lt;4000,"Low",IF(HR_Data[[#This Row],[MonthlyIncome]]&lt;=7000,"Medium","High"))</f>
        <v>Medium</v>
      </c>
      <c r="AL96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66" spans="1:38" hidden="1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tr">
        <f>IF(HR_Data[[#This Row],[Age]]&lt;30,"Under 30",IF(HR_Data[[#This Row],[Age]]&lt;=40,"30-40",IF(HR_Data[[#This Row],[Age]]&lt;=50,"41-50","50+")))</f>
        <v>30-40</v>
      </c>
      <c r="AK966" t="str">
        <f>IF(HR_Data[[#This Row],[MonthlyIncome]]&lt;4000,"Low",IF(HR_Data[[#This Row],[MonthlyIncome]]&lt;=7000,"Medium","High"))</f>
        <v>Medium</v>
      </c>
      <c r="AL96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67" spans="1:38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tr">
        <f>IF(HR_Data[[#This Row],[Age]]&lt;30,"Under 30",IF(HR_Data[[#This Row],[Age]]&lt;=40,"30-40",IF(HR_Data[[#This Row],[Age]]&lt;=50,"41-50","50+")))</f>
        <v>Under 30</v>
      </c>
      <c r="AK967" t="str">
        <f>IF(HR_Data[[#This Row],[MonthlyIncome]]&lt;4000,"Low",IF(HR_Data[[#This Row],[MonthlyIncome]]&lt;=7000,"Medium","High"))</f>
        <v>Low</v>
      </c>
      <c r="AL96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968" spans="1:38" hidden="1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tr">
        <f>IF(HR_Data[[#This Row],[Age]]&lt;30,"Under 30",IF(HR_Data[[#This Row],[Age]]&lt;=40,"30-40",IF(HR_Data[[#This Row],[Age]]&lt;=50,"41-50","50+")))</f>
        <v>50+</v>
      </c>
      <c r="AK968" t="str">
        <f>IF(HR_Data[[#This Row],[MonthlyIncome]]&lt;4000,"Low",IF(HR_Data[[#This Row],[MonthlyIncome]]&lt;=7000,"Medium","High"))</f>
        <v>High</v>
      </c>
      <c r="AL96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69" spans="1:38" hidden="1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tr">
        <f>IF(HR_Data[[#This Row],[Age]]&lt;30,"Under 30",IF(HR_Data[[#This Row],[Age]]&lt;=40,"30-40",IF(HR_Data[[#This Row],[Age]]&lt;=50,"41-50","50+")))</f>
        <v>30-40</v>
      </c>
      <c r="AK969" t="str">
        <f>IF(HR_Data[[#This Row],[MonthlyIncome]]&lt;4000,"Low",IF(HR_Data[[#This Row],[MonthlyIncome]]&lt;=7000,"Medium","High"))</f>
        <v>Low</v>
      </c>
      <c r="AL96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970" spans="1:38" hidden="1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tr">
        <f>IF(HR_Data[[#This Row],[Age]]&lt;30,"Under 30",IF(HR_Data[[#This Row],[Age]]&lt;=40,"30-40",IF(HR_Data[[#This Row],[Age]]&lt;=50,"41-50","50+")))</f>
        <v>30-40</v>
      </c>
      <c r="AK970" t="str">
        <f>IF(HR_Data[[#This Row],[MonthlyIncome]]&lt;4000,"Low",IF(HR_Data[[#This Row],[MonthlyIncome]]&lt;=7000,"Medium","High"))</f>
        <v>Medium</v>
      </c>
      <c r="AL970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971" spans="1:38" hidden="1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tr">
        <f>IF(HR_Data[[#This Row],[Age]]&lt;30,"Under 30",IF(HR_Data[[#This Row],[Age]]&lt;=40,"30-40",IF(HR_Data[[#This Row],[Age]]&lt;=50,"41-50","50+")))</f>
        <v>41-50</v>
      </c>
      <c r="AK971" t="str">
        <f>IF(HR_Data[[#This Row],[MonthlyIncome]]&lt;4000,"Low",IF(HR_Data[[#This Row],[MonthlyIncome]]&lt;=7000,"Medium","High"))</f>
        <v>High</v>
      </c>
      <c r="AL97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72" spans="1:38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tr">
        <f>IF(HR_Data[[#This Row],[Age]]&lt;30,"Under 30",IF(HR_Data[[#This Row],[Age]]&lt;=40,"30-40",IF(HR_Data[[#This Row],[Age]]&lt;=50,"41-50","50+")))</f>
        <v>Under 30</v>
      </c>
      <c r="AK972" t="str">
        <f>IF(HR_Data[[#This Row],[MonthlyIncome]]&lt;4000,"Low",IF(HR_Data[[#This Row],[MonthlyIncome]]&lt;=7000,"Medium","High"))</f>
        <v>Low</v>
      </c>
      <c r="AL972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973" spans="1:38" hidden="1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tr">
        <f>IF(HR_Data[[#This Row],[Age]]&lt;30,"Under 30",IF(HR_Data[[#This Row],[Age]]&lt;=40,"30-40",IF(HR_Data[[#This Row],[Age]]&lt;=50,"41-50","50+")))</f>
        <v>50+</v>
      </c>
      <c r="AK973" t="str">
        <f>IF(HR_Data[[#This Row],[MonthlyIncome]]&lt;4000,"Low",IF(HR_Data[[#This Row],[MonthlyIncome]]&lt;=7000,"Medium","High"))</f>
        <v>High</v>
      </c>
      <c r="AL97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974" spans="1:38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t="str">
        <f>IF(HR_Data[[#This Row],[Age]]&lt;30,"Under 30",IF(HR_Data[[#This Row],[Age]]&lt;=40,"30-40",IF(HR_Data[[#This Row],[Age]]&lt;=50,"41-50","50+")))</f>
        <v>Under 30</v>
      </c>
      <c r="AK974" t="str">
        <f>IF(HR_Data[[#This Row],[MonthlyIncome]]&lt;4000,"Low",IF(HR_Data[[#This Row],[MonthlyIncome]]&lt;=7000,"Medium","High"))</f>
        <v>Low</v>
      </c>
      <c r="AL974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975" spans="1:38" hidden="1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tr">
        <f>IF(HR_Data[[#This Row],[Age]]&lt;30,"Under 30",IF(HR_Data[[#This Row],[Age]]&lt;=40,"30-40",IF(HR_Data[[#This Row],[Age]]&lt;=50,"41-50","50+")))</f>
        <v>30-40</v>
      </c>
      <c r="AK975" t="str">
        <f>IF(HR_Data[[#This Row],[MonthlyIncome]]&lt;4000,"Low",IF(HR_Data[[#This Row],[MonthlyIncome]]&lt;=7000,"Medium","High"))</f>
        <v>Medium</v>
      </c>
      <c r="AL97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76" spans="1:38" hidden="1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tr">
        <f>IF(HR_Data[[#This Row],[Age]]&lt;30,"Under 30",IF(HR_Data[[#This Row],[Age]]&lt;=40,"30-40",IF(HR_Data[[#This Row],[Age]]&lt;=50,"41-50","50+")))</f>
        <v>Under 30</v>
      </c>
      <c r="AK976" t="str">
        <f>IF(HR_Data[[#This Row],[MonthlyIncome]]&lt;4000,"Low",IF(HR_Data[[#This Row],[MonthlyIncome]]&lt;=7000,"Medium","High"))</f>
        <v>Medium</v>
      </c>
      <c r="AL97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77" spans="1:38" hidden="1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tr">
        <f>IF(HR_Data[[#This Row],[Age]]&lt;30,"Under 30",IF(HR_Data[[#This Row],[Age]]&lt;=40,"30-40",IF(HR_Data[[#This Row],[Age]]&lt;=50,"41-50","50+")))</f>
        <v>50+</v>
      </c>
      <c r="AK977" t="str">
        <f>IF(HR_Data[[#This Row],[MonthlyIncome]]&lt;4000,"Low",IF(HR_Data[[#This Row],[MonthlyIncome]]&lt;=7000,"Medium","High"))</f>
        <v>High</v>
      </c>
      <c r="AL977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978" spans="1:38" hidden="1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tr">
        <f>IF(HR_Data[[#This Row],[Age]]&lt;30,"Under 30",IF(HR_Data[[#This Row],[Age]]&lt;=40,"30-40",IF(HR_Data[[#This Row],[Age]]&lt;=50,"41-50","50+")))</f>
        <v>50+</v>
      </c>
      <c r="AK978" t="str">
        <f>IF(HR_Data[[#This Row],[MonthlyIncome]]&lt;4000,"Low",IF(HR_Data[[#This Row],[MonthlyIncome]]&lt;=7000,"Medium","High"))</f>
        <v>High</v>
      </c>
      <c r="AL978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979" spans="1:38" hidden="1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tr">
        <f>IF(HR_Data[[#This Row],[Age]]&lt;30,"Under 30",IF(HR_Data[[#This Row],[Age]]&lt;=40,"30-40",IF(HR_Data[[#This Row],[Age]]&lt;=50,"41-50","50+")))</f>
        <v>30-40</v>
      </c>
      <c r="AK979" t="str">
        <f>IF(HR_Data[[#This Row],[MonthlyIncome]]&lt;4000,"Low",IF(HR_Data[[#This Row],[MonthlyIncome]]&lt;=7000,"Medium","High"))</f>
        <v>Low</v>
      </c>
      <c r="AL97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980" spans="1:38" hidden="1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tr">
        <f>IF(HR_Data[[#This Row],[Age]]&lt;30,"Under 30",IF(HR_Data[[#This Row],[Age]]&lt;=40,"30-40",IF(HR_Data[[#This Row],[Age]]&lt;=50,"41-50","50+")))</f>
        <v>30-40</v>
      </c>
      <c r="AK980" t="str">
        <f>IF(HR_Data[[#This Row],[MonthlyIncome]]&lt;4000,"Low",IF(HR_Data[[#This Row],[MonthlyIncome]]&lt;=7000,"Medium","High"))</f>
        <v>Medium</v>
      </c>
      <c r="AL980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981" spans="1:38" hidden="1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tr">
        <f>IF(HR_Data[[#This Row],[Age]]&lt;30,"Under 30",IF(HR_Data[[#This Row],[Age]]&lt;=40,"30-40",IF(HR_Data[[#This Row],[Age]]&lt;=50,"41-50","50+")))</f>
        <v>30-40</v>
      </c>
      <c r="AK981" t="str">
        <f>IF(HR_Data[[#This Row],[MonthlyIncome]]&lt;4000,"Low",IF(HR_Data[[#This Row],[MonthlyIncome]]&lt;=7000,"Medium","High"))</f>
        <v>Medium</v>
      </c>
      <c r="AL98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82" spans="1:38" hidden="1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tr">
        <f>IF(HR_Data[[#This Row],[Age]]&lt;30,"Under 30",IF(HR_Data[[#This Row],[Age]]&lt;=40,"30-40",IF(HR_Data[[#This Row],[Age]]&lt;=50,"41-50","50+")))</f>
        <v>30-40</v>
      </c>
      <c r="AK982" t="str">
        <f>IF(HR_Data[[#This Row],[MonthlyIncome]]&lt;4000,"Low",IF(HR_Data[[#This Row],[MonthlyIncome]]&lt;=7000,"Medium","High"))</f>
        <v>Low</v>
      </c>
      <c r="AL982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983" spans="1:38" hidden="1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tr">
        <f>IF(HR_Data[[#This Row],[Age]]&lt;30,"Under 30",IF(HR_Data[[#This Row],[Age]]&lt;=40,"30-40",IF(HR_Data[[#This Row],[Age]]&lt;=50,"41-50","50+")))</f>
        <v>30-40</v>
      </c>
      <c r="AK983" t="str">
        <f>IF(HR_Data[[#This Row],[MonthlyIncome]]&lt;4000,"Low",IF(HR_Data[[#This Row],[MonthlyIncome]]&lt;=7000,"Medium","High"))</f>
        <v>Medium</v>
      </c>
      <c r="AL98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984" spans="1:38" hidden="1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tr">
        <f>IF(HR_Data[[#This Row],[Age]]&lt;30,"Under 30",IF(HR_Data[[#This Row],[Age]]&lt;=40,"30-40",IF(HR_Data[[#This Row],[Age]]&lt;=50,"41-50","50+")))</f>
        <v>30-40</v>
      </c>
      <c r="AK984" t="str">
        <f>IF(HR_Data[[#This Row],[MonthlyIncome]]&lt;4000,"Low",IF(HR_Data[[#This Row],[MonthlyIncome]]&lt;=7000,"Medium","High"))</f>
        <v>Low</v>
      </c>
      <c r="AL98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985" spans="1:38" hidden="1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tr">
        <f>IF(HR_Data[[#This Row],[Age]]&lt;30,"Under 30",IF(HR_Data[[#This Row],[Age]]&lt;=40,"30-40",IF(HR_Data[[#This Row],[Age]]&lt;=50,"41-50","50+")))</f>
        <v>30-40</v>
      </c>
      <c r="AK985" t="str">
        <f>IF(HR_Data[[#This Row],[MonthlyIncome]]&lt;4000,"Low",IF(HR_Data[[#This Row],[MonthlyIncome]]&lt;=7000,"Medium","High"))</f>
        <v>Medium</v>
      </c>
      <c r="AL985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986" spans="1:38" hidden="1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tr">
        <f>IF(HR_Data[[#This Row],[Age]]&lt;30,"Under 30",IF(HR_Data[[#This Row],[Age]]&lt;=40,"30-40",IF(HR_Data[[#This Row],[Age]]&lt;=50,"41-50","50+")))</f>
        <v>Under 30</v>
      </c>
      <c r="AK986" t="str">
        <f>IF(HR_Data[[#This Row],[MonthlyIncome]]&lt;4000,"Low",IF(HR_Data[[#This Row],[MonthlyIncome]]&lt;=7000,"Medium","High"))</f>
        <v>Medium</v>
      </c>
      <c r="AL98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987" spans="1:38" hidden="1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tr">
        <f>IF(HR_Data[[#This Row],[Age]]&lt;30,"Under 30",IF(HR_Data[[#This Row],[Age]]&lt;=40,"30-40",IF(HR_Data[[#This Row],[Age]]&lt;=50,"41-50","50+")))</f>
        <v>30-40</v>
      </c>
      <c r="AK987" t="str">
        <f>IF(HR_Data[[#This Row],[MonthlyIncome]]&lt;4000,"Low",IF(HR_Data[[#This Row],[MonthlyIncome]]&lt;=7000,"Medium","High"))</f>
        <v>Medium</v>
      </c>
      <c r="AL98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88" spans="1:38" hidden="1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tr">
        <f>IF(HR_Data[[#This Row],[Age]]&lt;30,"Under 30",IF(HR_Data[[#This Row],[Age]]&lt;=40,"30-40",IF(HR_Data[[#This Row],[Age]]&lt;=50,"41-50","50+")))</f>
        <v>30-40</v>
      </c>
      <c r="AK988" t="str">
        <f>IF(HR_Data[[#This Row],[MonthlyIncome]]&lt;4000,"Low",IF(HR_Data[[#This Row],[MonthlyIncome]]&lt;=7000,"Medium","High"))</f>
        <v>Medium</v>
      </c>
      <c r="AL98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989" spans="1:38" hidden="1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tr">
        <f>IF(HR_Data[[#This Row],[Age]]&lt;30,"Under 30",IF(HR_Data[[#This Row],[Age]]&lt;=40,"30-40",IF(HR_Data[[#This Row],[Age]]&lt;=50,"41-50","50+")))</f>
        <v>50+</v>
      </c>
      <c r="AK989" t="str">
        <f>IF(HR_Data[[#This Row],[MonthlyIncome]]&lt;4000,"Low",IF(HR_Data[[#This Row],[MonthlyIncome]]&lt;=7000,"Medium","High"))</f>
        <v>High</v>
      </c>
      <c r="AL98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990" spans="1:38" hidden="1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tr">
        <f>IF(HR_Data[[#This Row],[Age]]&lt;30,"Under 30",IF(HR_Data[[#This Row],[Age]]&lt;=40,"30-40",IF(HR_Data[[#This Row],[Age]]&lt;=50,"41-50","50+")))</f>
        <v>41-50</v>
      </c>
      <c r="AK990" t="str">
        <f>IF(HR_Data[[#This Row],[MonthlyIncome]]&lt;4000,"Low",IF(HR_Data[[#This Row],[MonthlyIncome]]&lt;=7000,"Medium","High"))</f>
        <v>Medium</v>
      </c>
      <c r="AL99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91" spans="1:38" hidden="1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tr">
        <f>IF(HR_Data[[#This Row],[Age]]&lt;30,"Under 30",IF(HR_Data[[#This Row],[Age]]&lt;=40,"30-40",IF(HR_Data[[#This Row],[Age]]&lt;=50,"41-50","50+")))</f>
        <v>30-40</v>
      </c>
      <c r="AK991" t="str">
        <f>IF(HR_Data[[#This Row],[MonthlyIncome]]&lt;4000,"Low",IF(HR_Data[[#This Row],[MonthlyIncome]]&lt;=7000,"Medium","High"))</f>
        <v>Low</v>
      </c>
      <c r="AL99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92" spans="1:38" hidden="1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tr">
        <f>IF(HR_Data[[#This Row],[Age]]&lt;30,"Under 30",IF(HR_Data[[#This Row],[Age]]&lt;=40,"30-40",IF(HR_Data[[#This Row],[Age]]&lt;=50,"41-50","50+")))</f>
        <v>30-40</v>
      </c>
      <c r="AK992" t="str">
        <f>IF(HR_Data[[#This Row],[MonthlyIncome]]&lt;4000,"Low",IF(HR_Data[[#This Row],[MonthlyIncome]]&lt;=7000,"Medium","High"))</f>
        <v>High</v>
      </c>
      <c r="AL99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993" spans="1:38" hidden="1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tr">
        <f>IF(HR_Data[[#This Row],[Age]]&lt;30,"Under 30",IF(HR_Data[[#This Row],[Age]]&lt;=40,"30-40",IF(HR_Data[[#This Row],[Age]]&lt;=50,"41-50","50+")))</f>
        <v>30-40</v>
      </c>
      <c r="AK993" t="str">
        <f>IF(HR_Data[[#This Row],[MonthlyIncome]]&lt;4000,"Low",IF(HR_Data[[#This Row],[MonthlyIncome]]&lt;=7000,"Medium","High"))</f>
        <v>Medium</v>
      </c>
      <c r="AL99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994" spans="1:38" hidden="1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tr">
        <f>IF(HR_Data[[#This Row],[Age]]&lt;30,"Under 30",IF(HR_Data[[#This Row],[Age]]&lt;=40,"30-40",IF(HR_Data[[#This Row],[Age]]&lt;=50,"41-50","50+")))</f>
        <v>30-40</v>
      </c>
      <c r="AK994" t="str">
        <f>IF(HR_Data[[#This Row],[MonthlyIncome]]&lt;4000,"Low",IF(HR_Data[[#This Row],[MonthlyIncome]]&lt;=7000,"Medium","High"))</f>
        <v>High</v>
      </c>
      <c r="AL99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95" spans="1:38" hidden="1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tr">
        <f>IF(HR_Data[[#This Row],[Age]]&lt;30,"Under 30",IF(HR_Data[[#This Row],[Age]]&lt;=40,"30-40",IF(HR_Data[[#This Row],[Age]]&lt;=50,"41-50","50+")))</f>
        <v>Under 30</v>
      </c>
      <c r="AK995" t="str">
        <f>IF(HR_Data[[#This Row],[MonthlyIncome]]&lt;4000,"Low",IF(HR_Data[[#This Row],[MonthlyIncome]]&lt;=7000,"Medium","High"))</f>
        <v>Medium</v>
      </c>
      <c r="AL99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996" spans="1:38" hidden="1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tr">
        <f>IF(HR_Data[[#This Row],[Age]]&lt;30,"Under 30",IF(HR_Data[[#This Row],[Age]]&lt;=40,"30-40",IF(HR_Data[[#This Row],[Age]]&lt;=50,"41-50","50+")))</f>
        <v>50+</v>
      </c>
      <c r="AK996" t="str">
        <f>IF(HR_Data[[#This Row],[MonthlyIncome]]&lt;4000,"Low",IF(HR_Data[[#This Row],[MonthlyIncome]]&lt;=7000,"Medium","High"))</f>
        <v>High</v>
      </c>
      <c r="AL99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997" spans="1:38" hidden="1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tr">
        <f>IF(HR_Data[[#This Row],[Age]]&lt;30,"Under 30",IF(HR_Data[[#This Row],[Age]]&lt;=40,"30-40",IF(HR_Data[[#This Row],[Age]]&lt;=50,"41-50","50+")))</f>
        <v>41-50</v>
      </c>
      <c r="AK997" t="str">
        <f>IF(HR_Data[[#This Row],[MonthlyIncome]]&lt;4000,"Low",IF(HR_Data[[#This Row],[MonthlyIncome]]&lt;=7000,"Medium","High"))</f>
        <v>Medium</v>
      </c>
      <c r="AL997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998" spans="1:38" hidden="1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tr">
        <f>IF(HR_Data[[#This Row],[Age]]&lt;30,"Under 30",IF(HR_Data[[#This Row],[Age]]&lt;=40,"30-40",IF(HR_Data[[#This Row],[Age]]&lt;=50,"41-50","50+")))</f>
        <v>Under 30</v>
      </c>
      <c r="AK998" t="str">
        <f>IF(HR_Data[[#This Row],[MonthlyIncome]]&lt;4000,"Low",IF(HR_Data[[#This Row],[MonthlyIncome]]&lt;=7000,"Medium","High"))</f>
        <v>Medium</v>
      </c>
      <c r="AL99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999" spans="1:38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tr">
        <f>IF(HR_Data[[#This Row],[Age]]&lt;30,"Under 30",IF(HR_Data[[#This Row],[Age]]&lt;=40,"30-40",IF(HR_Data[[#This Row],[Age]]&lt;=50,"41-50","50+")))</f>
        <v>Under 30</v>
      </c>
      <c r="AK999" t="str">
        <f>IF(HR_Data[[#This Row],[MonthlyIncome]]&lt;4000,"Low",IF(HR_Data[[#This Row],[MonthlyIncome]]&lt;=7000,"Medium","High"))</f>
        <v>Low</v>
      </c>
      <c r="AL999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000" spans="1:38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tr">
        <f>IF(HR_Data[[#This Row],[Age]]&lt;30,"Under 30",IF(HR_Data[[#This Row],[Age]]&lt;=40,"30-40",IF(HR_Data[[#This Row],[Age]]&lt;=50,"41-50","50+")))</f>
        <v>Under 30</v>
      </c>
      <c r="AK1000" t="str">
        <f>IF(HR_Data[[#This Row],[MonthlyIncome]]&lt;4000,"Low",IF(HR_Data[[#This Row],[MonthlyIncome]]&lt;=7000,"Medium","High"))</f>
        <v>Low</v>
      </c>
      <c r="AL100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01" spans="1:38" hidden="1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tr">
        <f>IF(HR_Data[[#This Row],[Age]]&lt;30,"Under 30",IF(HR_Data[[#This Row],[Age]]&lt;=40,"30-40",IF(HR_Data[[#This Row],[Age]]&lt;=50,"41-50","50+")))</f>
        <v>41-50</v>
      </c>
      <c r="AK1001" t="str">
        <f>IF(HR_Data[[#This Row],[MonthlyIncome]]&lt;4000,"Low",IF(HR_Data[[#This Row],[MonthlyIncome]]&lt;=7000,"Medium","High"))</f>
        <v>High</v>
      </c>
      <c r="AL1001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002" spans="1:38" hidden="1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tr">
        <f>IF(HR_Data[[#This Row],[Age]]&lt;30,"Under 30",IF(HR_Data[[#This Row],[Age]]&lt;=40,"30-40",IF(HR_Data[[#This Row],[Age]]&lt;=50,"41-50","50+")))</f>
        <v>50+</v>
      </c>
      <c r="AK1002" t="str">
        <f>IF(HR_Data[[#This Row],[MonthlyIncome]]&lt;4000,"Low",IF(HR_Data[[#This Row],[MonthlyIncome]]&lt;=7000,"Medium","High"))</f>
        <v>Low</v>
      </c>
      <c r="AL100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03" spans="1:38" hidden="1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tr">
        <f>IF(HR_Data[[#This Row],[Age]]&lt;30,"Under 30",IF(HR_Data[[#This Row],[Age]]&lt;=40,"30-40",IF(HR_Data[[#This Row],[Age]]&lt;=50,"41-50","50+")))</f>
        <v>30-40</v>
      </c>
      <c r="AK1003" t="str">
        <f>IF(HR_Data[[#This Row],[MonthlyIncome]]&lt;4000,"Low",IF(HR_Data[[#This Row],[MonthlyIncome]]&lt;=7000,"Medium","High"))</f>
        <v>Low</v>
      </c>
      <c r="AL100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04" spans="1:38" hidden="1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tr">
        <f>IF(HR_Data[[#This Row],[Age]]&lt;30,"Under 30",IF(HR_Data[[#This Row],[Age]]&lt;=40,"30-40",IF(HR_Data[[#This Row],[Age]]&lt;=50,"41-50","50+")))</f>
        <v>30-40</v>
      </c>
      <c r="AK1004" t="str">
        <f>IF(HR_Data[[#This Row],[MonthlyIncome]]&lt;4000,"Low",IF(HR_Data[[#This Row],[MonthlyIncome]]&lt;=7000,"Medium","High"))</f>
        <v>High</v>
      </c>
      <c r="AL100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05" spans="1:38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tr">
        <f>IF(HR_Data[[#This Row],[Age]]&lt;30,"Under 30",IF(HR_Data[[#This Row],[Age]]&lt;=40,"30-40",IF(HR_Data[[#This Row],[Age]]&lt;=50,"41-50","50+")))</f>
        <v>Under 30</v>
      </c>
      <c r="AK1005" t="str">
        <f>IF(HR_Data[[#This Row],[MonthlyIncome]]&lt;4000,"Low",IF(HR_Data[[#This Row],[MonthlyIncome]]&lt;=7000,"Medium","High"))</f>
        <v>Low</v>
      </c>
      <c r="AL100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06" spans="1:38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tr">
        <f>IF(HR_Data[[#This Row],[Age]]&lt;30,"Under 30",IF(HR_Data[[#This Row],[Age]]&lt;=40,"30-40",IF(HR_Data[[#This Row],[Age]]&lt;=50,"41-50","50+")))</f>
        <v>Under 30</v>
      </c>
      <c r="AK1006" t="str">
        <f>IF(HR_Data[[#This Row],[MonthlyIncome]]&lt;4000,"Low",IF(HR_Data[[#This Row],[MonthlyIncome]]&lt;=7000,"Medium","High"))</f>
        <v>Low</v>
      </c>
      <c r="AL100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007" spans="1:38" hidden="1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tr">
        <f>IF(HR_Data[[#This Row],[Age]]&lt;30,"Under 30",IF(HR_Data[[#This Row],[Age]]&lt;=40,"30-40",IF(HR_Data[[#This Row],[Age]]&lt;=50,"41-50","50+")))</f>
        <v>Under 30</v>
      </c>
      <c r="AK1007" t="str">
        <f>IF(HR_Data[[#This Row],[MonthlyIncome]]&lt;4000,"Low",IF(HR_Data[[#This Row],[MonthlyIncome]]&lt;=7000,"Medium","High"))</f>
        <v>High</v>
      </c>
      <c r="AL100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008" spans="1:38" hidden="1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tr">
        <f>IF(HR_Data[[#This Row],[Age]]&lt;30,"Under 30",IF(HR_Data[[#This Row],[Age]]&lt;=40,"30-40",IF(HR_Data[[#This Row],[Age]]&lt;=50,"41-50","50+")))</f>
        <v>41-50</v>
      </c>
      <c r="AK1008" t="str">
        <f>IF(HR_Data[[#This Row],[MonthlyIncome]]&lt;4000,"Low",IF(HR_Data[[#This Row],[MonthlyIncome]]&lt;=7000,"Medium","High"))</f>
        <v>Medium</v>
      </c>
      <c r="AL100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09" spans="1:38" hidden="1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tr">
        <f>IF(HR_Data[[#This Row],[Age]]&lt;30,"Under 30",IF(HR_Data[[#This Row],[Age]]&lt;=40,"30-40",IF(HR_Data[[#This Row],[Age]]&lt;=50,"41-50","50+")))</f>
        <v>Under 30</v>
      </c>
      <c r="AK1009" t="str">
        <f>IF(HR_Data[[#This Row],[MonthlyIncome]]&lt;4000,"Low",IF(HR_Data[[#This Row],[MonthlyIncome]]&lt;=7000,"Medium","High"))</f>
        <v>High</v>
      </c>
      <c r="AL1009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010" spans="1:38" hidden="1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tr">
        <f>IF(HR_Data[[#This Row],[Age]]&lt;30,"Under 30",IF(HR_Data[[#This Row],[Age]]&lt;=40,"30-40",IF(HR_Data[[#This Row],[Age]]&lt;=50,"41-50","50+")))</f>
        <v>50+</v>
      </c>
      <c r="AK1010" t="str">
        <f>IF(HR_Data[[#This Row],[MonthlyIncome]]&lt;4000,"Low",IF(HR_Data[[#This Row],[MonthlyIncome]]&lt;=7000,"Medium","High"))</f>
        <v>High</v>
      </c>
      <c r="AL1010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011" spans="1:38" hidden="1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tr">
        <f>IF(HR_Data[[#This Row],[Age]]&lt;30,"Under 30",IF(HR_Data[[#This Row],[Age]]&lt;=40,"30-40",IF(HR_Data[[#This Row],[Age]]&lt;=50,"41-50","50+")))</f>
        <v>50+</v>
      </c>
      <c r="AK1011" t="str">
        <f>IF(HR_Data[[#This Row],[MonthlyIncome]]&lt;4000,"Low",IF(HR_Data[[#This Row],[MonthlyIncome]]&lt;=7000,"Medium","High"))</f>
        <v>High</v>
      </c>
      <c r="AL101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012" spans="1:38" hidden="1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tr">
        <f>IF(HR_Data[[#This Row],[Age]]&lt;30,"Under 30",IF(HR_Data[[#This Row],[Age]]&lt;=40,"30-40",IF(HR_Data[[#This Row],[Age]]&lt;=50,"41-50","50+")))</f>
        <v>50+</v>
      </c>
      <c r="AK1012" t="str">
        <f>IF(HR_Data[[#This Row],[MonthlyIncome]]&lt;4000,"Low",IF(HR_Data[[#This Row],[MonthlyIncome]]&lt;=7000,"Medium","High"))</f>
        <v>High</v>
      </c>
      <c r="AL101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013" spans="1:38" hidden="1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tr">
        <f>IF(HR_Data[[#This Row],[Age]]&lt;30,"Under 30",IF(HR_Data[[#This Row],[Age]]&lt;=40,"30-40",IF(HR_Data[[#This Row],[Age]]&lt;=50,"41-50","50+")))</f>
        <v>30-40</v>
      </c>
      <c r="AK1013" t="str">
        <f>IF(HR_Data[[#This Row],[MonthlyIncome]]&lt;4000,"Low",IF(HR_Data[[#This Row],[MonthlyIncome]]&lt;=7000,"Medium","High"))</f>
        <v>High</v>
      </c>
      <c r="AL101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14" spans="1:38" hidden="1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tr">
        <f>IF(HR_Data[[#This Row],[Age]]&lt;30,"Under 30",IF(HR_Data[[#This Row],[Age]]&lt;=40,"30-40",IF(HR_Data[[#This Row],[Age]]&lt;=50,"41-50","50+")))</f>
        <v>30-40</v>
      </c>
      <c r="AK1014" t="str">
        <f>IF(HR_Data[[#This Row],[MonthlyIncome]]&lt;4000,"Low",IF(HR_Data[[#This Row],[MonthlyIncome]]&lt;=7000,"Medium","High"))</f>
        <v>Low</v>
      </c>
      <c r="AL1014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015" spans="1:38" hidden="1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tr">
        <f>IF(HR_Data[[#This Row],[Age]]&lt;30,"Under 30",IF(HR_Data[[#This Row],[Age]]&lt;=40,"30-40",IF(HR_Data[[#This Row],[Age]]&lt;=50,"41-50","50+")))</f>
        <v>30-40</v>
      </c>
      <c r="AK1015" t="str">
        <f>IF(HR_Data[[#This Row],[MonthlyIncome]]&lt;4000,"Low",IF(HR_Data[[#This Row],[MonthlyIncome]]&lt;=7000,"Medium","High"))</f>
        <v>Medium</v>
      </c>
      <c r="AL101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16" spans="1:38" hidden="1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tr">
        <f>IF(HR_Data[[#This Row],[Age]]&lt;30,"Under 30",IF(HR_Data[[#This Row],[Age]]&lt;=40,"30-40",IF(HR_Data[[#This Row],[Age]]&lt;=50,"41-50","50+")))</f>
        <v>30-40</v>
      </c>
      <c r="AK1016" t="str">
        <f>IF(HR_Data[[#This Row],[MonthlyIncome]]&lt;4000,"Low",IF(HR_Data[[#This Row],[MonthlyIncome]]&lt;=7000,"Medium","High"))</f>
        <v>High</v>
      </c>
      <c r="AL101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17" spans="1:38" hidden="1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tr">
        <f>IF(HR_Data[[#This Row],[Age]]&lt;30,"Under 30",IF(HR_Data[[#This Row],[Age]]&lt;=40,"30-40",IF(HR_Data[[#This Row],[Age]]&lt;=50,"41-50","50+")))</f>
        <v>30-40</v>
      </c>
      <c r="AK1017" t="str">
        <f>IF(HR_Data[[#This Row],[MonthlyIncome]]&lt;4000,"Low",IF(HR_Data[[#This Row],[MonthlyIncome]]&lt;=7000,"Medium","High"))</f>
        <v>Low</v>
      </c>
      <c r="AL101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18" spans="1:38" hidden="1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tr">
        <f>IF(HR_Data[[#This Row],[Age]]&lt;30,"Under 30",IF(HR_Data[[#This Row],[Age]]&lt;=40,"30-40",IF(HR_Data[[#This Row],[Age]]&lt;=50,"41-50","50+")))</f>
        <v>30-40</v>
      </c>
      <c r="AK1018" t="str">
        <f>IF(HR_Data[[#This Row],[MonthlyIncome]]&lt;4000,"Low",IF(HR_Data[[#This Row],[MonthlyIncome]]&lt;=7000,"Medium","High"))</f>
        <v>Low</v>
      </c>
      <c r="AL1018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019" spans="1:38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tr">
        <f>IF(HR_Data[[#This Row],[Age]]&lt;30,"Under 30",IF(HR_Data[[#This Row],[Age]]&lt;=40,"30-40",IF(HR_Data[[#This Row],[Age]]&lt;=50,"41-50","50+")))</f>
        <v>Under 30</v>
      </c>
      <c r="AK1019" t="str">
        <f>IF(HR_Data[[#This Row],[MonthlyIncome]]&lt;4000,"Low",IF(HR_Data[[#This Row],[MonthlyIncome]]&lt;=7000,"Medium","High"))</f>
        <v>Low</v>
      </c>
      <c r="AL101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20" spans="1:38" hidden="1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tr">
        <f>IF(HR_Data[[#This Row],[Age]]&lt;30,"Under 30",IF(HR_Data[[#This Row],[Age]]&lt;=40,"30-40",IF(HR_Data[[#This Row],[Age]]&lt;=50,"41-50","50+")))</f>
        <v>30-40</v>
      </c>
      <c r="AK1020" t="str">
        <f>IF(HR_Data[[#This Row],[MonthlyIncome]]&lt;4000,"Low",IF(HR_Data[[#This Row],[MonthlyIncome]]&lt;=7000,"Medium","High"))</f>
        <v>Medium</v>
      </c>
      <c r="AL102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021" spans="1:38" hidden="1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tr">
        <f>IF(HR_Data[[#This Row],[Age]]&lt;30,"Under 30",IF(HR_Data[[#This Row],[Age]]&lt;=40,"30-40",IF(HR_Data[[#This Row],[Age]]&lt;=50,"41-50","50+")))</f>
        <v>30-40</v>
      </c>
      <c r="AK1021" t="str">
        <f>IF(HR_Data[[#This Row],[MonthlyIncome]]&lt;4000,"Low",IF(HR_Data[[#This Row],[MonthlyIncome]]&lt;=7000,"Medium","High"))</f>
        <v>Medium</v>
      </c>
      <c r="AL102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22" spans="1:38" hidden="1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tr">
        <f>IF(HR_Data[[#This Row],[Age]]&lt;30,"Under 30",IF(HR_Data[[#This Row],[Age]]&lt;=40,"30-40",IF(HR_Data[[#This Row],[Age]]&lt;=50,"41-50","50+")))</f>
        <v>41-50</v>
      </c>
      <c r="AK1022" t="str">
        <f>IF(HR_Data[[#This Row],[MonthlyIncome]]&lt;4000,"Low",IF(HR_Data[[#This Row],[MonthlyIncome]]&lt;=7000,"Medium","High"))</f>
        <v>Low</v>
      </c>
      <c r="AL102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023" spans="1:38" hidden="1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tr">
        <f>IF(HR_Data[[#This Row],[Age]]&lt;30,"Under 30",IF(HR_Data[[#This Row],[Age]]&lt;=40,"30-40",IF(HR_Data[[#This Row],[Age]]&lt;=50,"41-50","50+")))</f>
        <v>Under 30</v>
      </c>
      <c r="AK1023" t="str">
        <f>IF(HR_Data[[#This Row],[MonthlyIncome]]&lt;4000,"Low",IF(HR_Data[[#This Row],[MonthlyIncome]]&lt;=7000,"Medium","High"))</f>
        <v>Medium</v>
      </c>
      <c r="AL102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24" spans="1:38" hidden="1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tr">
        <f>IF(HR_Data[[#This Row],[Age]]&lt;30,"Under 30",IF(HR_Data[[#This Row],[Age]]&lt;=40,"30-40",IF(HR_Data[[#This Row],[Age]]&lt;=50,"41-50","50+")))</f>
        <v>30-40</v>
      </c>
      <c r="AK1024" t="str">
        <f>IF(HR_Data[[#This Row],[MonthlyIncome]]&lt;4000,"Low",IF(HR_Data[[#This Row],[MonthlyIncome]]&lt;=7000,"Medium","High"))</f>
        <v>Low</v>
      </c>
      <c r="AL102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025" spans="1:38" hidden="1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tr">
        <f>IF(HR_Data[[#This Row],[Age]]&lt;30,"Under 30",IF(HR_Data[[#This Row],[Age]]&lt;=40,"30-40",IF(HR_Data[[#This Row],[Age]]&lt;=50,"41-50","50+")))</f>
        <v>50+</v>
      </c>
      <c r="AK1025" t="str">
        <f>IF(HR_Data[[#This Row],[MonthlyIncome]]&lt;4000,"Low",IF(HR_Data[[#This Row],[MonthlyIncome]]&lt;=7000,"Medium","High"))</f>
        <v>Low</v>
      </c>
      <c r="AL102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26" spans="1:38" hidden="1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tr">
        <f>IF(HR_Data[[#This Row],[Age]]&lt;30,"Under 30",IF(HR_Data[[#This Row],[Age]]&lt;=40,"30-40",IF(HR_Data[[#This Row],[Age]]&lt;=50,"41-50","50+")))</f>
        <v>41-50</v>
      </c>
      <c r="AK1026" t="str">
        <f>IF(HR_Data[[#This Row],[MonthlyIncome]]&lt;4000,"Low",IF(HR_Data[[#This Row],[MonthlyIncome]]&lt;=7000,"Medium","High"))</f>
        <v>High</v>
      </c>
      <c r="AL1026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027" spans="1:38" hidden="1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tr">
        <f>IF(HR_Data[[#This Row],[Age]]&lt;30,"Under 30",IF(HR_Data[[#This Row],[Age]]&lt;=40,"30-40",IF(HR_Data[[#This Row],[Age]]&lt;=50,"41-50","50+")))</f>
        <v>Under 30</v>
      </c>
      <c r="AK1027" t="str">
        <f>IF(HR_Data[[#This Row],[MonthlyIncome]]&lt;4000,"Low",IF(HR_Data[[#This Row],[MonthlyIncome]]&lt;=7000,"Medium","High"))</f>
        <v>Medium</v>
      </c>
      <c r="AL102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28" spans="1:38" hidden="1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tr">
        <f>IF(HR_Data[[#This Row],[Age]]&lt;30,"Under 30",IF(HR_Data[[#This Row],[Age]]&lt;=40,"30-40",IF(HR_Data[[#This Row],[Age]]&lt;=50,"41-50","50+")))</f>
        <v>30-40</v>
      </c>
      <c r="AK1028" t="str">
        <f>IF(HR_Data[[#This Row],[MonthlyIncome]]&lt;4000,"Low",IF(HR_Data[[#This Row],[MonthlyIncome]]&lt;=7000,"Medium","High"))</f>
        <v>High</v>
      </c>
      <c r="AL102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29" spans="1:38" hidden="1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tr">
        <f>IF(HR_Data[[#This Row],[Age]]&lt;30,"Under 30",IF(HR_Data[[#This Row],[Age]]&lt;=40,"30-40",IF(HR_Data[[#This Row],[Age]]&lt;=50,"41-50","50+")))</f>
        <v>30-40</v>
      </c>
      <c r="AK1029" t="str">
        <f>IF(HR_Data[[#This Row],[MonthlyIncome]]&lt;4000,"Low",IF(HR_Data[[#This Row],[MonthlyIncome]]&lt;=7000,"Medium","High"))</f>
        <v>Low</v>
      </c>
      <c r="AL102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30" spans="1:38" hidden="1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tr">
        <f>IF(HR_Data[[#This Row],[Age]]&lt;30,"Under 30",IF(HR_Data[[#This Row],[Age]]&lt;=40,"30-40",IF(HR_Data[[#This Row],[Age]]&lt;=50,"41-50","50+")))</f>
        <v>41-50</v>
      </c>
      <c r="AK1030" t="str">
        <f>IF(HR_Data[[#This Row],[MonthlyIncome]]&lt;4000,"Low",IF(HR_Data[[#This Row],[MonthlyIncome]]&lt;=7000,"Medium","High"))</f>
        <v>Low</v>
      </c>
      <c r="AL103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31" spans="1:38" hidden="1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tr">
        <f>IF(HR_Data[[#This Row],[Age]]&lt;30,"Under 30",IF(HR_Data[[#This Row],[Age]]&lt;=40,"30-40",IF(HR_Data[[#This Row],[Age]]&lt;=50,"41-50","50+")))</f>
        <v>30-40</v>
      </c>
      <c r="AK1031" t="str">
        <f>IF(HR_Data[[#This Row],[MonthlyIncome]]&lt;4000,"Low",IF(HR_Data[[#This Row],[MonthlyIncome]]&lt;=7000,"Medium","High"))</f>
        <v>Low</v>
      </c>
      <c r="AL103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032" spans="1:38" hidden="1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tr">
        <f>IF(HR_Data[[#This Row],[Age]]&lt;30,"Under 30",IF(HR_Data[[#This Row],[Age]]&lt;=40,"30-40",IF(HR_Data[[#This Row],[Age]]&lt;=50,"41-50","50+")))</f>
        <v>30-40</v>
      </c>
      <c r="AK1032" t="str">
        <f>IF(HR_Data[[#This Row],[MonthlyIncome]]&lt;4000,"Low",IF(HR_Data[[#This Row],[MonthlyIncome]]&lt;=7000,"Medium","High"))</f>
        <v>High</v>
      </c>
      <c r="AL1032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033" spans="1:38" hidden="1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tr">
        <f>IF(HR_Data[[#This Row],[Age]]&lt;30,"Under 30",IF(HR_Data[[#This Row],[Age]]&lt;=40,"30-40",IF(HR_Data[[#This Row],[Age]]&lt;=50,"41-50","50+")))</f>
        <v>41-50</v>
      </c>
      <c r="AK1033" t="str">
        <f>IF(HR_Data[[#This Row],[MonthlyIncome]]&lt;4000,"Low",IF(HR_Data[[#This Row],[MonthlyIncome]]&lt;=7000,"Medium","High"))</f>
        <v>High</v>
      </c>
      <c r="AL103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034" spans="1:38" hidden="1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tr">
        <f>IF(HR_Data[[#This Row],[Age]]&lt;30,"Under 30",IF(HR_Data[[#This Row],[Age]]&lt;=40,"30-40",IF(HR_Data[[#This Row],[Age]]&lt;=50,"41-50","50+")))</f>
        <v>30-40</v>
      </c>
      <c r="AK1034" t="str">
        <f>IF(HR_Data[[#This Row],[MonthlyIncome]]&lt;4000,"Low",IF(HR_Data[[#This Row],[MonthlyIncome]]&lt;=7000,"Medium","High"))</f>
        <v>Low</v>
      </c>
      <c r="AL1034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035" spans="1:38" hidden="1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tr">
        <f>IF(HR_Data[[#This Row],[Age]]&lt;30,"Under 30",IF(HR_Data[[#This Row],[Age]]&lt;=40,"30-40",IF(HR_Data[[#This Row],[Age]]&lt;=50,"41-50","50+")))</f>
        <v>30-40</v>
      </c>
      <c r="AK1035" t="str">
        <f>IF(HR_Data[[#This Row],[MonthlyIncome]]&lt;4000,"Low",IF(HR_Data[[#This Row],[MonthlyIncome]]&lt;=7000,"Medium","High"))</f>
        <v>High</v>
      </c>
      <c r="AL103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036" spans="1:38" hidden="1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tr">
        <f>IF(HR_Data[[#This Row],[Age]]&lt;30,"Under 30",IF(HR_Data[[#This Row],[Age]]&lt;=40,"30-40",IF(HR_Data[[#This Row],[Age]]&lt;=50,"41-50","50+")))</f>
        <v>41-50</v>
      </c>
      <c r="AK1036" t="str">
        <f>IF(HR_Data[[#This Row],[MonthlyIncome]]&lt;4000,"Low",IF(HR_Data[[#This Row],[MonthlyIncome]]&lt;=7000,"Medium","High"))</f>
        <v>High</v>
      </c>
      <c r="AL103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037" spans="1:38" hidden="1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tr">
        <f>IF(HR_Data[[#This Row],[Age]]&lt;30,"Under 30",IF(HR_Data[[#This Row],[Age]]&lt;=40,"30-40",IF(HR_Data[[#This Row],[Age]]&lt;=50,"41-50","50+")))</f>
        <v>30-40</v>
      </c>
      <c r="AK1037" t="str">
        <f>IF(HR_Data[[#This Row],[MonthlyIncome]]&lt;4000,"Low",IF(HR_Data[[#This Row],[MonthlyIncome]]&lt;=7000,"Medium","High"))</f>
        <v>Low</v>
      </c>
      <c r="AL103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38" spans="1:38" hidden="1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tr">
        <f>IF(HR_Data[[#This Row],[Age]]&lt;30,"Under 30",IF(HR_Data[[#This Row],[Age]]&lt;=40,"30-40",IF(HR_Data[[#This Row],[Age]]&lt;=50,"41-50","50+")))</f>
        <v>30-40</v>
      </c>
      <c r="AK1038" t="str">
        <f>IF(HR_Data[[#This Row],[MonthlyIncome]]&lt;4000,"Low",IF(HR_Data[[#This Row],[MonthlyIncome]]&lt;=7000,"Medium","High"))</f>
        <v>Low</v>
      </c>
      <c r="AL103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39" spans="1:38" hidden="1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tr">
        <f>IF(HR_Data[[#This Row],[Age]]&lt;30,"Under 30",IF(HR_Data[[#This Row],[Age]]&lt;=40,"30-40",IF(HR_Data[[#This Row],[Age]]&lt;=50,"41-50","50+")))</f>
        <v>41-50</v>
      </c>
      <c r="AK1039" t="str">
        <f>IF(HR_Data[[#This Row],[MonthlyIncome]]&lt;4000,"Low",IF(HR_Data[[#This Row],[MonthlyIncome]]&lt;=7000,"Medium","High"))</f>
        <v>High</v>
      </c>
      <c r="AL103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40" spans="1:38" hidden="1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tr">
        <f>IF(HR_Data[[#This Row],[Age]]&lt;30,"Under 30",IF(HR_Data[[#This Row],[Age]]&lt;=40,"30-40",IF(HR_Data[[#This Row],[Age]]&lt;=50,"41-50","50+")))</f>
        <v>41-50</v>
      </c>
      <c r="AK1040" t="str">
        <f>IF(HR_Data[[#This Row],[MonthlyIncome]]&lt;4000,"Low",IF(HR_Data[[#This Row],[MonthlyIncome]]&lt;=7000,"Medium","High"))</f>
        <v>Medium</v>
      </c>
      <c r="AL104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41" spans="1:38" hidden="1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tr">
        <f>IF(HR_Data[[#This Row],[Age]]&lt;30,"Under 30",IF(HR_Data[[#This Row],[Age]]&lt;=40,"30-40",IF(HR_Data[[#This Row],[Age]]&lt;=50,"41-50","50+")))</f>
        <v>30-40</v>
      </c>
      <c r="AK1041" t="str">
        <f>IF(HR_Data[[#This Row],[MonthlyIncome]]&lt;4000,"Low",IF(HR_Data[[#This Row],[MonthlyIncome]]&lt;=7000,"Medium","High"))</f>
        <v>Low</v>
      </c>
      <c r="AL104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42" spans="1:38" hidden="1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tr">
        <f>IF(HR_Data[[#This Row],[Age]]&lt;30,"Under 30",IF(HR_Data[[#This Row],[Age]]&lt;=40,"30-40",IF(HR_Data[[#This Row],[Age]]&lt;=50,"41-50","50+")))</f>
        <v>30-40</v>
      </c>
      <c r="AK1042" t="str">
        <f>IF(HR_Data[[#This Row],[MonthlyIncome]]&lt;4000,"Low",IF(HR_Data[[#This Row],[MonthlyIncome]]&lt;=7000,"Medium","High"))</f>
        <v>High</v>
      </c>
      <c r="AL104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043" spans="1:38" hidden="1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tr">
        <f>IF(HR_Data[[#This Row],[Age]]&lt;30,"Under 30",IF(HR_Data[[#This Row],[Age]]&lt;=40,"30-40",IF(HR_Data[[#This Row],[Age]]&lt;=50,"41-50","50+")))</f>
        <v>Under 30</v>
      </c>
      <c r="AK1043" t="str">
        <f>IF(HR_Data[[#This Row],[MonthlyIncome]]&lt;4000,"Low",IF(HR_Data[[#This Row],[MonthlyIncome]]&lt;=7000,"Medium","High"))</f>
        <v>High</v>
      </c>
      <c r="AL104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44" spans="1:38" hidden="1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tr">
        <f>IF(HR_Data[[#This Row],[Age]]&lt;30,"Under 30",IF(HR_Data[[#This Row],[Age]]&lt;=40,"30-40",IF(HR_Data[[#This Row],[Age]]&lt;=50,"41-50","50+")))</f>
        <v>41-50</v>
      </c>
      <c r="AK1044" t="str">
        <f>IF(HR_Data[[#This Row],[MonthlyIncome]]&lt;4000,"Low",IF(HR_Data[[#This Row],[MonthlyIncome]]&lt;=7000,"Medium","High"))</f>
        <v>Low</v>
      </c>
      <c r="AL104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45" spans="1:38" hidden="1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tr">
        <f>IF(HR_Data[[#This Row],[Age]]&lt;30,"Under 30",IF(HR_Data[[#This Row],[Age]]&lt;=40,"30-40",IF(HR_Data[[#This Row],[Age]]&lt;=50,"41-50","50+")))</f>
        <v>50+</v>
      </c>
      <c r="AK1045" t="str">
        <f>IF(HR_Data[[#This Row],[MonthlyIncome]]&lt;4000,"Low",IF(HR_Data[[#This Row],[MonthlyIncome]]&lt;=7000,"Medium","High"))</f>
        <v>High</v>
      </c>
      <c r="AL104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046" spans="1:38" hidden="1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tr">
        <f>IF(HR_Data[[#This Row],[Age]]&lt;30,"Under 30",IF(HR_Data[[#This Row],[Age]]&lt;=40,"30-40",IF(HR_Data[[#This Row],[Age]]&lt;=50,"41-50","50+")))</f>
        <v>41-50</v>
      </c>
      <c r="AK1046" t="str">
        <f>IF(HR_Data[[#This Row],[MonthlyIncome]]&lt;4000,"Low",IF(HR_Data[[#This Row],[MonthlyIncome]]&lt;=7000,"Medium","High"))</f>
        <v>Medium</v>
      </c>
      <c r="AL104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47" spans="1:38" hidden="1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tr">
        <f>IF(HR_Data[[#This Row],[Age]]&lt;30,"Under 30",IF(HR_Data[[#This Row],[Age]]&lt;=40,"30-40",IF(HR_Data[[#This Row],[Age]]&lt;=50,"41-50","50+")))</f>
        <v>30-40</v>
      </c>
      <c r="AK1047" t="str">
        <f>IF(HR_Data[[#This Row],[MonthlyIncome]]&lt;4000,"Low",IF(HR_Data[[#This Row],[MonthlyIncome]]&lt;=7000,"Medium","High"))</f>
        <v>Low</v>
      </c>
      <c r="AL104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48" spans="1:38" hidden="1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tr">
        <f>IF(HR_Data[[#This Row],[Age]]&lt;30,"Under 30",IF(HR_Data[[#This Row],[Age]]&lt;=40,"30-40",IF(HR_Data[[#This Row],[Age]]&lt;=50,"41-50","50+")))</f>
        <v>41-50</v>
      </c>
      <c r="AK1048" t="str">
        <f>IF(HR_Data[[#This Row],[MonthlyIncome]]&lt;4000,"Low",IF(HR_Data[[#This Row],[MonthlyIncome]]&lt;=7000,"Medium","High"))</f>
        <v>Low</v>
      </c>
      <c r="AL104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49" spans="1:38" hidden="1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tr">
        <f>IF(HR_Data[[#This Row],[Age]]&lt;30,"Under 30",IF(HR_Data[[#This Row],[Age]]&lt;=40,"30-40",IF(HR_Data[[#This Row],[Age]]&lt;=50,"41-50","50+")))</f>
        <v>30-40</v>
      </c>
      <c r="AK1049" t="str">
        <f>IF(HR_Data[[#This Row],[MonthlyIncome]]&lt;4000,"Low",IF(HR_Data[[#This Row],[MonthlyIncome]]&lt;=7000,"Medium","High"))</f>
        <v>Medium</v>
      </c>
      <c r="AL104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50" spans="1:38" hidden="1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tr">
        <f>IF(HR_Data[[#This Row],[Age]]&lt;30,"Under 30",IF(HR_Data[[#This Row],[Age]]&lt;=40,"30-40",IF(HR_Data[[#This Row],[Age]]&lt;=50,"41-50","50+")))</f>
        <v>30-40</v>
      </c>
      <c r="AK1050" t="str">
        <f>IF(HR_Data[[#This Row],[MonthlyIncome]]&lt;4000,"Low",IF(HR_Data[[#This Row],[MonthlyIncome]]&lt;=7000,"Medium","High"))</f>
        <v>Medium</v>
      </c>
      <c r="AL1050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051" spans="1:38" hidden="1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tr">
        <f>IF(HR_Data[[#This Row],[Age]]&lt;30,"Under 30",IF(HR_Data[[#This Row],[Age]]&lt;=40,"30-40",IF(HR_Data[[#This Row],[Age]]&lt;=50,"41-50","50+")))</f>
        <v>30-40</v>
      </c>
      <c r="AK1051" t="str">
        <f>IF(HR_Data[[#This Row],[MonthlyIncome]]&lt;4000,"Low",IF(HR_Data[[#This Row],[MonthlyIncome]]&lt;=7000,"Medium","High"))</f>
        <v>Medium</v>
      </c>
      <c r="AL105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52" spans="1:38" hidden="1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tr">
        <f>IF(HR_Data[[#This Row],[Age]]&lt;30,"Under 30",IF(HR_Data[[#This Row],[Age]]&lt;=40,"30-40",IF(HR_Data[[#This Row],[Age]]&lt;=50,"41-50","50+")))</f>
        <v>41-50</v>
      </c>
      <c r="AK1052" t="str">
        <f>IF(HR_Data[[#This Row],[MonthlyIncome]]&lt;4000,"Low",IF(HR_Data[[#This Row],[MonthlyIncome]]&lt;=7000,"Medium","High"))</f>
        <v>Low</v>
      </c>
      <c r="AL1052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053" spans="1:38" hidden="1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tr">
        <f>IF(HR_Data[[#This Row],[Age]]&lt;30,"Under 30",IF(HR_Data[[#This Row],[Age]]&lt;=40,"30-40",IF(HR_Data[[#This Row],[Age]]&lt;=50,"41-50","50+")))</f>
        <v>41-50</v>
      </c>
      <c r="AK1053" t="str">
        <f>IF(HR_Data[[#This Row],[MonthlyIncome]]&lt;4000,"Low",IF(HR_Data[[#This Row],[MonthlyIncome]]&lt;=7000,"Medium","High"))</f>
        <v>Medium</v>
      </c>
      <c r="AL1053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054" spans="1:38" hidden="1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tr">
        <f>IF(HR_Data[[#This Row],[Age]]&lt;30,"Under 30",IF(HR_Data[[#This Row],[Age]]&lt;=40,"30-40",IF(HR_Data[[#This Row],[Age]]&lt;=50,"41-50","50+")))</f>
        <v>30-40</v>
      </c>
      <c r="AK1054" t="str">
        <f>IF(HR_Data[[#This Row],[MonthlyIncome]]&lt;4000,"Low",IF(HR_Data[[#This Row],[MonthlyIncome]]&lt;=7000,"Medium","High"))</f>
        <v>Low</v>
      </c>
      <c r="AL1054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055" spans="1:38" hidden="1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tr">
        <f>IF(HR_Data[[#This Row],[Age]]&lt;30,"Under 30",IF(HR_Data[[#This Row],[Age]]&lt;=40,"30-40",IF(HR_Data[[#This Row],[Age]]&lt;=50,"41-50","50+")))</f>
        <v>50+</v>
      </c>
      <c r="AK1055" t="str">
        <f>IF(HR_Data[[#This Row],[MonthlyIncome]]&lt;4000,"Low",IF(HR_Data[[#This Row],[MonthlyIncome]]&lt;=7000,"Medium","High"))</f>
        <v>Medium</v>
      </c>
      <c r="AL1055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056" spans="1:38" hidden="1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tr">
        <f>IF(HR_Data[[#This Row],[Age]]&lt;30,"Under 30",IF(HR_Data[[#This Row],[Age]]&lt;=40,"30-40",IF(HR_Data[[#This Row],[Age]]&lt;=50,"41-50","50+")))</f>
        <v>41-50</v>
      </c>
      <c r="AK1056" t="str">
        <f>IF(HR_Data[[#This Row],[MonthlyIncome]]&lt;4000,"Low",IF(HR_Data[[#This Row],[MonthlyIncome]]&lt;=7000,"Medium","High"))</f>
        <v>High</v>
      </c>
      <c r="AL105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057" spans="1:38" hidden="1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tr">
        <f>IF(HR_Data[[#This Row],[Age]]&lt;30,"Under 30",IF(HR_Data[[#This Row],[Age]]&lt;=40,"30-40",IF(HR_Data[[#This Row],[Age]]&lt;=50,"41-50","50+")))</f>
        <v>30-40</v>
      </c>
      <c r="AK1057" t="str">
        <f>IF(HR_Data[[#This Row],[MonthlyIncome]]&lt;4000,"Low",IF(HR_Data[[#This Row],[MonthlyIncome]]&lt;=7000,"Medium","High"))</f>
        <v>High</v>
      </c>
      <c r="AL1057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058" spans="1:38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tr">
        <f>IF(HR_Data[[#This Row],[Age]]&lt;30,"Under 30",IF(HR_Data[[#This Row],[Age]]&lt;=40,"30-40",IF(HR_Data[[#This Row],[Age]]&lt;=50,"41-50","50+")))</f>
        <v>Under 30</v>
      </c>
      <c r="AK1058" t="str">
        <f>IF(HR_Data[[#This Row],[MonthlyIncome]]&lt;4000,"Low",IF(HR_Data[[#This Row],[MonthlyIncome]]&lt;=7000,"Medium","High"))</f>
        <v>Low</v>
      </c>
      <c r="AL105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59" spans="1:38" hidden="1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tr">
        <f>IF(HR_Data[[#This Row],[Age]]&lt;30,"Under 30",IF(HR_Data[[#This Row],[Age]]&lt;=40,"30-40",IF(HR_Data[[#This Row],[Age]]&lt;=50,"41-50","50+")))</f>
        <v>Under 30</v>
      </c>
      <c r="AK1059" t="str">
        <f>IF(HR_Data[[#This Row],[MonthlyIncome]]&lt;4000,"Low",IF(HR_Data[[#This Row],[MonthlyIncome]]&lt;=7000,"Medium","High"))</f>
        <v>Medium</v>
      </c>
      <c r="AL105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60" spans="1:38" hidden="1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tr">
        <f>IF(HR_Data[[#This Row],[Age]]&lt;30,"Under 30",IF(HR_Data[[#This Row],[Age]]&lt;=40,"30-40",IF(HR_Data[[#This Row],[Age]]&lt;=50,"41-50","50+")))</f>
        <v>30-40</v>
      </c>
      <c r="AK1060" t="str">
        <f>IF(HR_Data[[#This Row],[MonthlyIncome]]&lt;4000,"Low",IF(HR_Data[[#This Row],[MonthlyIncome]]&lt;=7000,"Medium","High"))</f>
        <v>Medium</v>
      </c>
      <c r="AL1060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061" spans="1:38" hidden="1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tr">
        <f>IF(HR_Data[[#This Row],[Age]]&lt;30,"Under 30",IF(HR_Data[[#This Row],[Age]]&lt;=40,"30-40",IF(HR_Data[[#This Row],[Age]]&lt;=50,"41-50","50+")))</f>
        <v>30-40</v>
      </c>
      <c r="AK1061" t="str">
        <f>IF(HR_Data[[#This Row],[MonthlyIncome]]&lt;4000,"Low",IF(HR_Data[[#This Row],[MonthlyIncome]]&lt;=7000,"Medium","High"))</f>
        <v>Low</v>
      </c>
      <c r="AL1061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062" spans="1:38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tr">
        <f>IF(HR_Data[[#This Row],[Age]]&lt;30,"Under 30",IF(HR_Data[[#This Row],[Age]]&lt;=40,"30-40",IF(HR_Data[[#This Row],[Age]]&lt;=50,"41-50","50+")))</f>
        <v>Under 30</v>
      </c>
      <c r="AK1062" t="str">
        <f>IF(HR_Data[[#This Row],[MonthlyIncome]]&lt;4000,"Low",IF(HR_Data[[#This Row],[MonthlyIncome]]&lt;=7000,"Medium","High"))</f>
        <v>Low</v>
      </c>
      <c r="AL1062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063" spans="1:38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tr">
        <f>IF(HR_Data[[#This Row],[Age]]&lt;30,"Under 30",IF(HR_Data[[#This Row],[Age]]&lt;=40,"30-40",IF(HR_Data[[#This Row],[Age]]&lt;=50,"41-50","50+")))</f>
        <v>Under 30</v>
      </c>
      <c r="AK1063" t="str">
        <f>IF(HR_Data[[#This Row],[MonthlyIncome]]&lt;4000,"Low",IF(HR_Data[[#This Row],[MonthlyIncome]]&lt;=7000,"Medium","High"))</f>
        <v>Low</v>
      </c>
      <c r="AL1063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064" spans="1:38" hidden="1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tr">
        <f>IF(HR_Data[[#This Row],[Age]]&lt;30,"Under 30",IF(HR_Data[[#This Row],[Age]]&lt;=40,"30-40",IF(HR_Data[[#This Row],[Age]]&lt;=50,"41-50","50+")))</f>
        <v>41-50</v>
      </c>
      <c r="AK1064" t="str">
        <f>IF(HR_Data[[#This Row],[MonthlyIncome]]&lt;4000,"Low",IF(HR_Data[[#This Row],[MonthlyIncome]]&lt;=7000,"Medium","High"))</f>
        <v>High</v>
      </c>
      <c r="AL106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65" spans="1:38" hidden="1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tr">
        <f>IF(HR_Data[[#This Row],[Age]]&lt;30,"Under 30",IF(HR_Data[[#This Row],[Age]]&lt;=40,"30-40",IF(HR_Data[[#This Row],[Age]]&lt;=50,"41-50","50+")))</f>
        <v>Under 30</v>
      </c>
      <c r="AK1065" t="str">
        <f>IF(HR_Data[[#This Row],[MonthlyIncome]]&lt;4000,"Low",IF(HR_Data[[#This Row],[MonthlyIncome]]&lt;=7000,"Medium","High"))</f>
        <v>High</v>
      </c>
      <c r="AL106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066" spans="1:38" hidden="1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tr">
        <f>IF(HR_Data[[#This Row],[Age]]&lt;30,"Under 30",IF(HR_Data[[#This Row],[Age]]&lt;=40,"30-40",IF(HR_Data[[#This Row],[Age]]&lt;=50,"41-50","50+")))</f>
        <v>30-40</v>
      </c>
      <c r="AK1066" t="str">
        <f>IF(HR_Data[[#This Row],[MonthlyIncome]]&lt;4000,"Low",IF(HR_Data[[#This Row],[MonthlyIncome]]&lt;=7000,"Medium","High"))</f>
        <v>Low</v>
      </c>
      <c r="AL106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67" spans="1:38" hidden="1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tr">
        <f>IF(HR_Data[[#This Row],[Age]]&lt;30,"Under 30",IF(HR_Data[[#This Row],[Age]]&lt;=40,"30-40",IF(HR_Data[[#This Row],[Age]]&lt;=50,"41-50","50+")))</f>
        <v>50+</v>
      </c>
      <c r="AK1067" t="str">
        <f>IF(HR_Data[[#This Row],[MonthlyIncome]]&lt;4000,"Low",IF(HR_Data[[#This Row],[MonthlyIncome]]&lt;=7000,"Medium","High"))</f>
        <v>Medium</v>
      </c>
      <c r="AL106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68" spans="1:38" hidden="1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tr">
        <f>IF(HR_Data[[#This Row],[Age]]&lt;30,"Under 30",IF(HR_Data[[#This Row],[Age]]&lt;=40,"30-40",IF(HR_Data[[#This Row],[Age]]&lt;=50,"41-50","50+")))</f>
        <v>30-40</v>
      </c>
      <c r="AK1068" t="str">
        <f>IF(HR_Data[[#This Row],[MonthlyIncome]]&lt;4000,"Low",IF(HR_Data[[#This Row],[MonthlyIncome]]&lt;=7000,"Medium","High"))</f>
        <v>Low</v>
      </c>
      <c r="AL106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69" spans="1:38" hidden="1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tr">
        <f>IF(HR_Data[[#This Row],[Age]]&lt;30,"Under 30",IF(HR_Data[[#This Row],[Age]]&lt;=40,"30-40",IF(HR_Data[[#This Row],[Age]]&lt;=50,"41-50","50+")))</f>
        <v>41-50</v>
      </c>
      <c r="AK1069" t="str">
        <f>IF(HR_Data[[#This Row],[MonthlyIncome]]&lt;4000,"Low",IF(HR_Data[[#This Row],[MonthlyIncome]]&lt;=7000,"Medium","High"))</f>
        <v>Medium</v>
      </c>
      <c r="AL106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70" spans="1:38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tr">
        <f>IF(HR_Data[[#This Row],[Age]]&lt;30,"Under 30",IF(HR_Data[[#This Row],[Age]]&lt;=40,"30-40",IF(HR_Data[[#This Row],[Age]]&lt;=50,"41-50","50+")))</f>
        <v>Under 30</v>
      </c>
      <c r="AK1070" t="str">
        <f>IF(HR_Data[[#This Row],[MonthlyIncome]]&lt;4000,"Low",IF(HR_Data[[#This Row],[MonthlyIncome]]&lt;=7000,"Medium","High"))</f>
        <v>Low</v>
      </c>
      <c r="AL1070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071" spans="1:38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tr">
        <f>IF(HR_Data[[#This Row],[Age]]&lt;30,"Under 30",IF(HR_Data[[#This Row],[Age]]&lt;=40,"30-40",IF(HR_Data[[#This Row],[Age]]&lt;=50,"41-50","50+")))</f>
        <v>Under 30</v>
      </c>
      <c r="AK1071" t="str">
        <f>IF(HR_Data[[#This Row],[MonthlyIncome]]&lt;4000,"Low",IF(HR_Data[[#This Row],[MonthlyIncome]]&lt;=7000,"Medium","High"))</f>
        <v>Low</v>
      </c>
      <c r="AL1071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072" spans="1:38" hidden="1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tr">
        <f>IF(HR_Data[[#This Row],[Age]]&lt;30,"Under 30",IF(HR_Data[[#This Row],[Age]]&lt;=40,"30-40",IF(HR_Data[[#This Row],[Age]]&lt;=50,"41-50","50+")))</f>
        <v>Under 30</v>
      </c>
      <c r="AK1072" t="str">
        <f>IF(HR_Data[[#This Row],[MonthlyIncome]]&lt;4000,"Low",IF(HR_Data[[#This Row],[MonthlyIncome]]&lt;=7000,"Medium","High"))</f>
        <v>Medium</v>
      </c>
      <c r="AL107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73" spans="1:38" hidden="1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tr">
        <f>IF(HR_Data[[#This Row],[Age]]&lt;30,"Under 30",IF(HR_Data[[#This Row],[Age]]&lt;=40,"30-40",IF(HR_Data[[#This Row],[Age]]&lt;=50,"41-50","50+")))</f>
        <v>41-50</v>
      </c>
      <c r="AK1073" t="str">
        <f>IF(HR_Data[[#This Row],[MonthlyIncome]]&lt;4000,"Low",IF(HR_Data[[#This Row],[MonthlyIncome]]&lt;=7000,"Medium","High"))</f>
        <v>Medium</v>
      </c>
      <c r="AL107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74" spans="1:38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tr">
        <f>IF(HR_Data[[#This Row],[Age]]&lt;30,"Under 30",IF(HR_Data[[#This Row],[Age]]&lt;=40,"30-40",IF(HR_Data[[#This Row],[Age]]&lt;=50,"41-50","50+")))</f>
        <v>Under 30</v>
      </c>
      <c r="AK1074" t="str">
        <f>IF(HR_Data[[#This Row],[MonthlyIncome]]&lt;4000,"Low",IF(HR_Data[[#This Row],[MonthlyIncome]]&lt;=7000,"Medium","High"))</f>
        <v>Low</v>
      </c>
      <c r="AL107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75" spans="1:38" hidden="1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tr">
        <f>IF(HR_Data[[#This Row],[Age]]&lt;30,"Under 30",IF(HR_Data[[#This Row],[Age]]&lt;=40,"30-40",IF(HR_Data[[#This Row],[Age]]&lt;=50,"41-50","50+")))</f>
        <v>Under 30</v>
      </c>
      <c r="AK1075" t="str">
        <f>IF(HR_Data[[#This Row],[MonthlyIncome]]&lt;4000,"Low",IF(HR_Data[[#This Row],[MonthlyIncome]]&lt;=7000,"Medium","High"))</f>
        <v>Medium</v>
      </c>
      <c r="AL107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076" spans="1:38" hidden="1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tr">
        <f>IF(HR_Data[[#This Row],[Age]]&lt;30,"Under 30",IF(HR_Data[[#This Row],[Age]]&lt;=40,"30-40",IF(HR_Data[[#This Row],[Age]]&lt;=50,"41-50","50+")))</f>
        <v>30-40</v>
      </c>
      <c r="AK1076" t="str">
        <f>IF(HR_Data[[#This Row],[MonthlyIncome]]&lt;4000,"Low",IF(HR_Data[[#This Row],[MonthlyIncome]]&lt;=7000,"Medium","High"))</f>
        <v>Medium</v>
      </c>
      <c r="AL1076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077" spans="1:38" hidden="1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tr">
        <f>IF(HR_Data[[#This Row],[Age]]&lt;30,"Under 30",IF(HR_Data[[#This Row],[Age]]&lt;=40,"30-40",IF(HR_Data[[#This Row],[Age]]&lt;=50,"41-50","50+")))</f>
        <v>30-40</v>
      </c>
      <c r="AK1077" t="str">
        <f>IF(HR_Data[[#This Row],[MonthlyIncome]]&lt;4000,"Low",IF(HR_Data[[#This Row],[MonthlyIncome]]&lt;=7000,"Medium","High"))</f>
        <v>High</v>
      </c>
      <c r="AL107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78" spans="1:38" hidden="1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tr">
        <f>IF(HR_Data[[#This Row],[Age]]&lt;30,"Under 30",IF(HR_Data[[#This Row],[Age]]&lt;=40,"30-40",IF(HR_Data[[#This Row],[Age]]&lt;=50,"41-50","50+")))</f>
        <v>50+</v>
      </c>
      <c r="AK1078" t="str">
        <f>IF(HR_Data[[#This Row],[MonthlyIncome]]&lt;4000,"Low",IF(HR_Data[[#This Row],[MonthlyIncome]]&lt;=7000,"Medium","High"))</f>
        <v>High</v>
      </c>
      <c r="AL1078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079" spans="1:38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tr">
        <f>IF(HR_Data[[#This Row],[Age]]&lt;30,"Under 30",IF(HR_Data[[#This Row],[Age]]&lt;=40,"30-40",IF(HR_Data[[#This Row],[Age]]&lt;=50,"41-50","50+")))</f>
        <v>Under 30</v>
      </c>
      <c r="AK1079" t="str">
        <f>IF(HR_Data[[#This Row],[MonthlyIncome]]&lt;4000,"Low",IF(HR_Data[[#This Row],[MonthlyIncome]]&lt;=7000,"Medium","High"))</f>
        <v>Low</v>
      </c>
      <c r="AL1079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080" spans="1:38" hidden="1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tr">
        <f>IF(HR_Data[[#This Row],[Age]]&lt;30,"Under 30",IF(HR_Data[[#This Row],[Age]]&lt;=40,"30-40",IF(HR_Data[[#This Row],[Age]]&lt;=50,"41-50","50+")))</f>
        <v>41-50</v>
      </c>
      <c r="AK1080" t="str">
        <f>IF(HR_Data[[#This Row],[MonthlyIncome]]&lt;4000,"Low",IF(HR_Data[[#This Row],[MonthlyIncome]]&lt;=7000,"Medium","High"))</f>
        <v>High</v>
      </c>
      <c r="AL1080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081" spans="1:38" hidden="1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tr">
        <f>IF(HR_Data[[#This Row],[Age]]&lt;30,"Under 30",IF(HR_Data[[#This Row],[Age]]&lt;=40,"30-40",IF(HR_Data[[#This Row],[Age]]&lt;=50,"41-50","50+")))</f>
        <v>30-40</v>
      </c>
      <c r="AK1081" t="str">
        <f>IF(HR_Data[[#This Row],[MonthlyIncome]]&lt;4000,"Low",IF(HR_Data[[#This Row],[MonthlyIncome]]&lt;=7000,"Medium","High"))</f>
        <v>High</v>
      </c>
      <c r="AL108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82" spans="1:38" hidden="1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tr">
        <f>IF(HR_Data[[#This Row],[Age]]&lt;30,"Under 30",IF(HR_Data[[#This Row],[Age]]&lt;=40,"30-40",IF(HR_Data[[#This Row],[Age]]&lt;=50,"41-50","50+")))</f>
        <v>41-50</v>
      </c>
      <c r="AK1082" t="str">
        <f>IF(HR_Data[[#This Row],[MonthlyIncome]]&lt;4000,"Low",IF(HR_Data[[#This Row],[MonthlyIncome]]&lt;=7000,"Medium","High"))</f>
        <v>High</v>
      </c>
      <c r="AL1082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083" spans="1:38" hidden="1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tr">
        <f>IF(HR_Data[[#This Row],[Age]]&lt;30,"Under 30",IF(HR_Data[[#This Row],[Age]]&lt;=40,"30-40",IF(HR_Data[[#This Row],[Age]]&lt;=50,"41-50","50+")))</f>
        <v>30-40</v>
      </c>
      <c r="AK1083" t="str">
        <f>IF(HR_Data[[#This Row],[MonthlyIncome]]&lt;4000,"Low",IF(HR_Data[[#This Row],[MonthlyIncome]]&lt;=7000,"Medium","High"))</f>
        <v>High</v>
      </c>
      <c r="AL1083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084" spans="1:38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tr">
        <f>IF(HR_Data[[#This Row],[Age]]&lt;30,"Under 30",IF(HR_Data[[#This Row],[Age]]&lt;=40,"30-40",IF(HR_Data[[#This Row],[Age]]&lt;=50,"41-50","50+")))</f>
        <v>Under 30</v>
      </c>
      <c r="AK1084" t="str">
        <f>IF(HR_Data[[#This Row],[MonthlyIncome]]&lt;4000,"Low",IF(HR_Data[[#This Row],[MonthlyIncome]]&lt;=7000,"Medium","High"))</f>
        <v>Low</v>
      </c>
      <c r="AL108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85" spans="1:38" hidden="1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tr">
        <f>IF(HR_Data[[#This Row],[Age]]&lt;30,"Under 30",IF(HR_Data[[#This Row],[Age]]&lt;=40,"30-40",IF(HR_Data[[#This Row],[Age]]&lt;=50,"41-50","50+")))</f>
        <v>30-40</v>
      </c>
      <c r="AK1085" t="str">
        <f>IF(HR_Data[[#This Row],[MonthlyIncome]]&lt;4000,"Low",IF(HR_Data[[#This Row],[MonthlyIncome]]&lt;=7000,"Medium","High"))</f>
        <v>Low</v>
      </c>
      <c r="AL108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86" spans="1:38" hidden="1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tr">
        <f>IF(HR_Data[[#This Row],[Age]]&lt;30,"Under 30",IF(HR_Data[[#This Row],[Age]]&lt;=40,"30-40",IF(HR_Data[[#This Row],[Age]]&lt;=50,"41-50","50+")))</f>
        <v>30-40</v>
      </c>
      <c r="AK1086" t="str">
        <f>IF(HR_Data[[#This Row],[MonthlyIncome]]&lt;4000,"Low",IF(HR_Data[[#This Row],[MonthlyIncome]]&lt;=7000,"Medium","High"))</f>
        <v>High</v>
      </c>
      <c r="AL108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087" spans="1:38" hidden="1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tr">
        <f>IF(HR_Data[[#This Row],[Age]]&lt;30,"Under 30",IF(HR_Data[[#This Row],[Age]]&lt;=40,"30-40",IF(HR_Data[[#This Row],[Age]]&lt;=50,"41-50","50+")))</f>
        <v>30-40</v>
      </c>
      <c r="AK1087" t="str">
        <f>IF(HR_Data[[#This Row],[MonthlyIncome]]&lt;4000,"Low",IF(HR_Data[[#This Row],[MonthlyIncome]]&lt;=7000,"Medium","High"))</f>
        <v>Medium</v>
      </c>
      <c r="AL108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088" spans="1:38" hidden="1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tr">
        <f>IF(HR_Data[[#This Row],[Age]]&lt;30,"Under 30",IF(HR_Data[[#This Row],[Age]]&lt;=40,"30-40",IF(HR_Data[[#This Row],[Age]]&lt;=50,"41-50","50+")))</f>
        <v>41-50</v>
      </c>
      <c r="AK1088" t="str">
        <f>IF(HR_Data[[#This Row],[MonthlyIncome]]&lt;4000,"Low",IF(HR_Data[[#This Row],[MonthlyIncome]]&lt;=7000,"Medium","High"))</f>
        <v>High</v>
      </c>
      <c r="AL1088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089" spans="1:38" hidden="1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tr">
        <f>IF(HR_Data[[#This Row],[Age]]&lt;30,"Under 30",IF(HR_Data[[#This Row],[Age]]&lt;=40,"30-40",IF(HR_Data[[#This Row],[Age]]&lt;=50,"41-50","50+")))</f>
        <v>30-40</v>
      </c>
      <c r="AK1089" t="str">
        <f>IF(HR_Data[[#This Row],[MonthlyIncome]]&lt;4000,"Low",IF(HR_Data[[#This Row],[MonthlyIncome]]&lt;=7000,"Medium","High"))</f>
        <v>Low</v>
      </c>
      <c r="AL1089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090" spans="1:38" hidden="1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tr">
        <f>IF(HR_Data[[#This Row],[Age]]&lt;30,"Under 30",IF(HR_Data[[#This Row],[Age]]&lt;=40,"30-40",IF(HR_Data[[#This Row],[Age]]&lt;=50,"41-50","50+")))</f>
        <v>41-50</v>
      </c>
      <c r="AK1090" t="str">
        <f>IF(HR_Data[[#This Row],[MonthlyIncome]]&lt;4000,"Low",IF(HR_Data[[#This Row],[MonthlyIncome]]&lt;=7000,"Medium","High"))</f>
        <v>Medium</v>
      </c>
      <c r="AL1090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091" spans="1:38" hidden="1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tr">
        <f>IF(HR_Data[[#This Row],[Age]]&lt;30,"Under 30",IF(HR_Data[[#This Row],[Age]]&lt;=40,"30-40",IF(HR_Data[[#This Row],[Age]]&lt;=50,"41-50","50+")))</f>
        <v>30-40</v>
      </c>
      <c r="AK1091" t="str">
        <f>IF(HR_Data[[#This Row],[MonthlyIncome]]&lt;4000,"Low",IF(HR_Data[[#This Row],[MonthlyIncome]]&lt;=7000,"Medium","High"))</f>
        <v>Medium</v>
      </c>
      <c r="AL109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092" spans="1:38" hidden="1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tr">
        <f>IF(HR_Data[[#This Row],[Age]]&lt;30,"Under 30",IF(HR_Data[[#This Row],[Age]]&lt;=40,"30-40",IF(HR_Data[[#This Row],[Age]]&lt;=50,"41-50","50+")))</f>
        <v>Under 30</v>
      </c>
      <c r="AK1092" t="str">
        <f>IF(HR_Data[[#This Row],[MonthlyIncome]]&lt;4000,"Low",IF(HR_Data[[#This Row],[MonthlyIncome]]&lt;=7000,"Medium","High"))</f>
        <v>High</v>
      </c>
      <c r="AL109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093" spans="1:38" hidden="1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tr">
        <f>IF(HR_Data[[#This Row],[Age]]&lt;30,"Under 30",IF(HR_Data[[#This Row],[Age]]&lt;=40,"30-40",IF(HR_Data[[#This Row],[Age]]&lt;=50,"41-50","50+")))</f>
        <v>30-40</v>
      </c>
      <c r="AK1093" t="str">
        <f>IF(HR_Data[[#This Row],[MonthlyIncome]]&lt;4000,"Low",IF(HR_Data[[#This Row],[MonthlyIncome]]&lt;=7000,"Medium","High"))</f>
        <v>Medium</v>
      </c>
      <c r="AL109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94" spans="1:38" hidden="1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tr">
        <f>IF(HR_Data[[#This Row],[Age]]&lt;30,"Under 30",IF(HR_Data[[#This Row],[Age]]&lt;=40,"30-40",IF(HR_Data[[#This Row],[Age]]&lt;=50,"41-50","50+")))</f>
        <v>41-50</v>
      </c>
      <c r="AK1094" t="str">
        <f>IF(HR_Data[[#This Row],[MonthlyIncome]]&lt;4000,"Low",IF(HR_Data[[#This Row],[MonthlyIncome]]&lt;=7000,"Medium","High"))</f>
        <v>Low</v>
      </c>
      <c r="AL109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095" spans="1:38" hidden="1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tr">
        <f>IF(HR_Data[[#This Row],[Age]]&lt;30,"Under 30",IF(HR_Data[[#This Row],[Age]]&lt;=40,"30-40",IF(HR_Data[[#This Row],[Age]]&lt;=50,"41-50","50+")))</f>
        <v>41-50</v>
      </c>
      <c r="AK1095" t="str">
        <f>IF(HR_Data[[#This Row],[MonthlyIncome]]&lt;4000,"Low",IF(HR_Data[[#This Row],[MonthlyIncome]]&lt;=7000,"Medium","High"))</f>
        <v>High</v>
      </c>
      <c r="AL1095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096" spans="1:38" hidden="1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tr">
        <f>IF(HR_Data[[#This Row],[Age]]&lt;30,"Under 30",IF(HR_Data[[#This Row],[Age]]&lt;=40,"30-40",IF(HR_Data[[#This Row],[Age]]&lt;=50,"41-50","50+")))</f>
        <v>30-40</v>
      </c>
      <c r="AK1096" t="str">
        <f>IF(HR_Data[[#This Row],[MonthlyIncome]]&lt;4000,"Low",IF(HR_Data[[#This Row],[MonthlyIncome]]&lt;=7000,"Medium","High"))</f>
        <v>Medium</v>
      </c>
      <c r="AL109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097" spans="1:38" hidden="1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tr">
        <f>IF(HR_Data[[#This Row],[Age]]&lt;30,"Under 30",IF(HR_Data[[#This Row],[Age]]&lt;=40,"30-40",IF(HR_Data[[#This Row],[Age]]&lt;=50,"41-50","50+")))</f>
        <v>30-40</v>
      </c>
      <c r="AK1097" t="str">
        <f>IF(HR_Data[[#This Row],[MonthlyIncome]]&lt;4000,"Low",IF(HR_Data[[#This Row],[MonthlyIncome]]&lt;=7000,"Medium","High"))</f>
        <v>Medium</v>
      </c>
      <c r="AL1097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098" spans="1:38" hidden="1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tr">
        <f>IF(HR_Data[[#This Row],[Age]]&lt;30,"Under 30",IF(HR_Data[[#This Row],[Age]]&lt;=40,"30-40",IF(HR_Data[[#This Row],[Age]]&lt;=50,"41-50","50+")))</f>
        <v>30-40</v>
      </c>
      <c r="AK1098" t="str">
        <f>IF(HR_Data[[#This Row],[MonthlyIncome]]&lt;4000,"Low",IF(HR_Data[[#This Row],[MonthlyIncome]]&lt;=7000,"Medium","High"))</f>
        <v>High</v>
      </c>
      <c r="AL1098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099" spans="1:38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tr">
        <f>IF(HR_Data[[#This Row],[Age]]&lt;30,"Under 30",IF(HR_Data[[#This Row],[Age]]&lt;=40,"30-40",IF(HR_Data[[#This Row],[Age]]&lt;=50,"41-50","50+")))</f>
        <v>Under 30</v>
      </c>
      <c r="AK1099" t="str">
        <f>IF(HR_Data[[#This Row],[MonthlyIncome]]&lt;4000,"Low",IF(HR_Data[[#This Row],[MonthlyIncome]]&lt;=7000,"Medium","High"))</f>
        <v>Low</v>
      </c>
      <c r="AL1099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100" spans="1:38" hidden="1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tr">
        <f>IF(HR_Data[[#This Row],[Age]]&lt;30,"Under 30",IF(HR_Data[[#This Row],[Age]]&lt;=40,"30-40",IF(HR_Data[[#This Row],[Age]]&lt;=50,"41-50","50+")))</f>
        <v>30-40</v>
      </c>
      <c r="AK1100" t="str">
        <f>IF(HR_Data[[#This Row],[MonthlyIncome]]&lt;4000,"Low",IF(HR_Data[[#This Row],[MonthlyIncome]]&lt;=7000,"Medium","High"))</f>
        <v>Medium</v>
      </c>
      <c r="AL110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01" spans="1:38" hidden="1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tr">
        <f>IF(HR_Data[[#This Row],[Age]]&lt;30,"Under 30",IF(HR_Data[[#This Row],[Age]]&lt;=40,"30-40",IF(HR_Data[[#This Row],[Age]]&lt;=50,"41-50","50+")))</f>
        <v>41-50</v>
      </c>
      <c r="AK1101" t="str">
        <f>IF(HR_Data[[#This Row],[MonthlyIncome]]&lt;4000,"Low",IF(HR_Data[[#This Row],[MonthlyIncome]]&lt;=7000,"Medium","High"))</f>
        <v>High</v>
      </c>
      <c r="AL110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02" spans="1:38" hidden="1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tr">
        <f>IF(HR_Data[[#This Row],[Age]]&lt;30,"Under 30",IF(HR_Data[[#This Row],[Age]]&lt;=40,"30-40",IF(HR_Data[[#This Row],[Age]]&lt;=50,"41-50","50+")))</f>
        <v>30-40</v>
      </c>
      <c r="AK1102" t="str">
        <f>IF(HR_Data[[#This Row],[MonthlyIncome]]&lt;4000,"Low",IF(HR_Data[[#This Row],[MonthlyIncome]]&lt;=7000,"Medium","High"))</f>
        <v>Low</v>
      </c>
      <c r="AL110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03" spans="1:38" hidden="1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tr">
        <f>IF(HR_Data[[#This Row],[Age]]&lt;30,"Under 30",IF(HR_Data[[#This Row],[Age]]&lt;=40,"30-40",IF(HR_Data[[#This Row],[Age]]&lt;=50,"41-50","50+")))</f>
        <v>30-40</v>
      </c>
      <c r="AK1103" t="str">
        <f>IF(HR_Data[[#This Row],[MonthlyIncome]]&lt;4000,"Low",IF(HR_Data[[#This Row],[MonthlyIncome]]&lt;=7000,"Medium","High"))</f>
        <v>Medium</v>
      </c>
      <c r="AL110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04" spans="1:38" hidden="1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tr">
        <f>IF(HR_Data[[#This Row],[Age]]&lt;30,"Under 30",IF(HR_Data[[#This Row],[Age]]&lt;=40,"30-40",IF(HR_Data[[#This Row],[Age]]&lt;=50,"41-50","50+")))</f>
        <v>30-40</v>
      </c>
      <c r="AK1104" t="str">
        <f>IF(HR_Data[[#This Row],[MonthlyIncome]]&lt;4000,"Low",IF(HR_Data[[#This Row],[MonthlyIncome]]&lt;=7000,"Medium","High"))</f>
        <v>Low</v>
      </c>
      <c r="AL110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05" spans="1:38" hidden="1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tr">
        <f>IF(HR_Data[[#This Row],[Age]]&lt;30,"Under 30",IF(HR_Data[[#This Row],[Age]]&lt;=40,"30-40",IF(HR_Data[[#This Row],[Age]]&lt;=50,"41-50","50+")))</f>
        <v>41-50</v>
      </c>
      <c r="AK1105" t="str">
        <f>IF(HR_Data[[#This Row],[MonthlyIncome]]&lt;4000,"Low",IF(HR_Data[[#This Row],[MonthlyIncome]]&lt;=7000,"Medium","High"))</f>
        <v>Medium</v>
      </c>
      <c r="AL110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06" spans="1:38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tr">
        <f>IF(HR_Data[[#This Row],[Age]]&lt;30,"Under 30",IF(HR_Data[[#This Row],[Age]]&lt;=40,"30-40",IF(HR_Data[[#This Row],[Age]]&lt;=50,"41-50","50+")))</f>
        <v>Under 30</v>
      </c>
      <c r="AK1106" t="str">
        <f>IF(HR_Data[[#This Row],[MonthlyIncome]]&lt;4000,"Low",IF(HR_Data[[#This Row],[MonthlyIncome]]&lt;=7000,"Medium","High"))</f>
        <v>Low</v>
      </c>
      <c r="AL1106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107" spans="1:38" hidden="1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tr">
        <f>IF(HR_Data[[#This Row],[Age]]&lt;30,"Under 30",IF(HR_Data[[#This Row],[Age]]&lt;=40,"30-40",IF(HR_Data[[#This Row],[Age]]&lt;=50,"41-50","50+")))</f>
        <v>30-40</v>
      </c>
      <c r="AK1107" t="str">
        <f>IF(HR_Data[[#This Row],[MonthlyIncome]]&lt;4000,"Low",IF(HR_Data[[#This Row],[MonthlyIncome]]&lt;=7000,"Medium","High"))</f>
        <v>Medium</v>
      </c>
      <c r="AL110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08" spans="1:38" hidden="1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tr">
        <f>IF(HR_Data[[#This Row],[Age]]&lt;30,"Under 30",IF(HR_Data[[#This Row],[Age]]&lt;=40,"30-40",IF(HR_Data[[#This Row],[Age]]&lt;=50,"41-50","50+")))</f>
        <v>30-40</v>
      </c>
      <c r="AK1108" t="str">
        <f>IF(HR_Data[[#This Row],[MonthlyIncome]]&lt;4000,"Low",IF(HR_Data[[#This Row],[MonthlyIncome]]&lt;=7000,"Medium","High"))</f>
        <v>High</v>
      </c>
      <c r="AL110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09" spans="1:38" hidden="1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tr">
        <f>IF(HR_Data[[#This Row],[Age]]&lt;30,"Under 30",IF(HR_Data[[#This Row],[Age]]&lt;=40,"30-40",IF(HR_Data[[#This Row],[Age]]&lt;=50,"41-50","50+")))</f>
        <v>30-40</v>
      </c>
      <c r="AK1109" t="str">
        <f>IF(HR_Data[[#This Row],[MonthlyIncome]]&lt;4000,"Low",IF(HR_Data[[#This Row],[MonthlyIncome]]&lt;=7000,"Medium","High"))</f>
        <v>Medium</v>
      </c>
      <c r="AL1109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10" spans="1:38" hidden="1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tr">
        <f>IF(HR_Data[[#This Row],[Age]]&lt;30,"Under 30",IF(HR_Data[[#This Row],[Age]]&lt;=40,"30-40",IF(HR_Data[[#This Row],[Age]]&lt;=50,"41-50","50+")))</f>
        <v>30-40</v>
      </c>
      <c r="AK1110" t="str">
        <f>IF(HR_Data[[#This Row],[MonthlyIncome]]&lt;4000,"Low",IF(HR_Data[[#This Row],[MonthlyIncome]]&lt;=7000,"Medium","High"))</f>
        <v>Low</v>
      </c>
      <c r="AL111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11" spans="1:38" hidden="1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tr">
        <f>IF(HR_Data[[#This Row],[Age]]&lt;30,"Under 30",IF(HR_Data[[#This Row],[Age]]&lt;=40,"30-40",IF(HR_Data[[#This Row],[Age]]&lt;=50,"41-50","50+")))</f>
        <v>30-40</v>
      </c>
      <c r="AK1111" t="str">
        <f>IF(HR_Data[[#This Row],[MonthlyIncome]]&lt;4000,"Low",IF(HR_Data[[#This Row],[MonthlyIncome]]&lt;=7000,"Medium","High"))</f>
        <v>High</v>
      </c>
      <c r="AL111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12" spans="1:38" hidden="1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tr">
        <f>IF(HR_Data[[#This Row],[Age]]&lt;30,"Under 30",IF(HR_Data[[#This Row],[Age]]&lt;=40,"30-40",IF(HR_Data[[#This Row],[Age]]&lt;=50,"41-50","50+")))</f>
        <v>30-40</v>
      </c>
      <c r="AK1112" t="str">
        <f>IF(HR_Data[[#This Row],[MonthlyIncome]]&lt;4000,"Low",IF(HR_Data[[#This Row],[MonthlyIncome]]&lt;=7000,"Medium","High"))</f>
        <v>Low</v>
      </c>
      <c r="AL1112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113" spans="1:38" hidden="1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tr">
        <f>IF(HR_Data[[#This Row],[Age]]&lt;30,"Under 30",IF(HR_Data[[#This Row],[Age]]&lt;=40,"30-40",IF(HR_Data[[#This Row],[Age]]&lt;=50,"41-50","50+")))</f>
        <v>50+</v>
      </c>
      <c r="AK1113" t="str">
        <f>IF(HR_Data[[#This Row],[MonthlyIncome]]&lt;4000,"Low",IF(HR_Data[[#This Row],[MonthlyIncome]]&lt;=7000,"Medium","High"))</f>
        <v>High</v>
      </c>
      <c r="AL1113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114" spans="1:38" hidden="1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tr">
        <f>IF(HR_Data[[#This Row],[Age]]&lt;30,"Under 30",IF(HR_Data[[#This Row],[Age]]&lt;=40,"30-40",IF(HR_Data[[#This Row],[Age]]&lt;=50,"41-50","50+")))</f>
        <v>30-40</v>
      </c>
      <c r="AK1114" t="str">
        <f>IF(HR_Data[[#This Row],[MonthlyIncome]]&lt;4000,"Low",IF(HR_Data[[#This Row],[MonthlyIncome]]&lt;=7000,"Medium","High"))</f>
        <v>Medium</v>
      </c>
      <c r="AL111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15" spans="1:38" hidden="1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tr">
        <f>IF(HR_Data[[#This Row],[Age]]&lt;30,"Under 30",IF(HR_Data[[#This Row],[Age]]&lt;=40,"30-40",IF(HR_Data[[#This Row],[Age]]&lt;=50,"41-50","50+")))</f>
        <v>30-40</v>
      </c>
      <c r="AK1115" t="str">
        <f>IF(HR_Data[[#This Row],[MonthlyIncome]]&lt;4000,"Low",IF(HR_Data[[#This Row],[MonthlyIncome]]&lt;=7000,"Medium","High"))</f>
        <v>Medium</v>
      </c>
      <c r="AL111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16" spans="1:38" hidden="1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tr">
        <f>IF(HR_Data[[#This Row],[Age]]&lt;30,"Under 30",IF(HR_Data[[#This Row],[Age]]&lt;=40,"30-40",IF(HR_Data[[#This Row],[Age]]&lt;=50,"41-50","50+")))</f>
        <v>41-50</v>
      </c>
      <c r="AK1116" t="str">
        <f>IF(HR_Data[[#This Row],[MonthlyIncome]]&lt;4000,"Low",IF(HR_Data[[#This Row],[MonthlyIncome]]&lt;=7000,"Medium","High"))</f>
        <v>Low</v>
      </c>
      <c r="AL111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17" spans="1:38" hidden="1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tr">
        <f>IF(HR_Data[[#This Row],[Age]]&lt;30,"Under 30",IF(HR_Data[[#This Row],[Age]]&lt;=40,"30-40",IF(HR_Data[[#This Row],[Age]]&lt;=50,"41-50","50+")))</f>
        <v>30-40</v>
      </c>
      <c r="AK1117" t="str">
        <f>IF(HR_Data[[#This Row],[MonthlyIncome]]&lt;4000,"Low",IF(HR_Data[[#This Row],[MonthlyIncome]]&lt;=7000,"Medium","High"))</f>
        <v>Low</v>
      </c>
      <c r="AL1117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118" spans="1:38" hidden="1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tr">
        <f>IF(HR_Data[[#This Row],[Age]]&lt;30,"Under 30",IF(HR_Data[[#This Row],[Age]]&lt;=40,"30-40",IF(HR_Data[[#This Row],[Age]]&lt;=50,"41-50","50+")))</f>
        <v>50+</v>
      </c>
      <c r="AK1118" t="str">
        <f>IF(HR_Data[[#This Row],[MonthlyIncome]]&lt;4000,"Low",IF(HR_Data[[#This Row],[MonthlyIncome]]&lt;=7000,"Medium","High"))</f>
        <v>High</v>
      </c>
      <c r="AL1118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119" spans="1:38" hidden="1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tr">
        <f>IF(HR_Data[[#This Row],[Age]]&lt;30,"Under 30",IF(HR_Data[[#This Row],[Age]]&lt;=40,"30-40",IF(HR_Data[[#This Row],[Age]]&lt;=50,"41-50","50+")))</f>
        <v>30-40</v>
      </c>
      <c r="AK1119" t="str">
        <f>IF(HR_Data[[#This Row],[MonthlyIncome]]&lt;4000,"Low",IF(HR_Data[[#This Row],[MonthlyIncome]]&lt;=7000,"Medium","High"))</f>
        <v>Medium</v>
      </c>
      <c r="AL111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20" spans="1:38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tr">
        <f>IF(HR_Data[[#This Row],[Age]]&lt;30,"Under 30",IF(HR_Data[[#This Row],[Age]]&lt;=40,"30-40",IF(HR_Data[[#This Row],[Age]]&lt;=50,"41-50","50+")))</f>
        <v>Under 30</v>
      </c>
      <c r="AK1120" t="str">
        <f>IF(HR_Data[[#This Row],[MonthlyIncome]]&lt;4000,"Low",IF(HR_Data[[#This Row],[MonthlyIncome]]&lt;=7000,"Medium","High"))</f>
        <v>Low</v>
      </c>
      <c r="AL1120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121" spans="1:38" hidden="1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tr">
        <f>IF(HR_Data[[#This Row],[Age]]&lt;30,"Under 30",IF(HR_Data[[#This Row],[Age]]&lt;=40,"30-40",IF(HR_Data[[#This Row],[Age]]&lt;=50,"41-50","50+")))</f>
        <v>30-40</v>
      </c>
      <c r="AK1121" t="str">
        <f>IF(HR_Data[[#This Row],[MonthlyIncome]]&lt;4000,"Low",IF(HR_Data[[#This Row],[MonthlyIncome]]&lt;=7000,"Medium","High"))</f>
        <v>High</v>
      </c>
      <c r="AL112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22" spans="1:38" hidden="1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tr">
        <f>IF(HR_Data[[#This Row],[Age]]&lt;30,"Under 30",IF(HR_Data[[#This Row],[Age]]&lt;=40,"30-40",IF(HR_Data[[#This Row],[Age]]&lt;=50,"41-50","50+")))</f>
        <v>30-40</v>
      </c>
      <c r="AK1122" t="str">
        <f>IF(HR_Data[[#This Row],[MonthlyIncome]]&lt;4000,"Low",IF(HR_Data[[#This Row],[MonthlyIncome]]&lt;=7000,"Medium","High"))</f>
        <v>Medium</v>
      </c>
      <c r="AL112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23" spans="1:38" hidden="1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tr">
        <f>IF(HR_Data[[#This Row],[Age]]&lt;30,"Under 30",IF(HR_Data[[#This Row],[Age]]&lt;=40,"30-40",IF(HR_Data[[#This Row],[Age]]&lt;=50,"41-50","50+")))</f>
        <v>30-40</v>
      </c>
      <c r="AK1123" t="str">
        <f>IF(HR_Data[[#This Row],[MonthlyIncome]]&lt;4000,"Low",IF(HR_Data[[#This Row],[MonthlyIncome]]&lt;=7000,"Medium","High"))</f>
        <v>Medium</v>
      </c>
      <c r="AL1123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124" spans="1:38" hidden="1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tr">
        <f>IF(HR_Data[[#This Row],[Age]]&lt;30,"Under 30",IF(HR_Data[[#This Row],[Age]]&lt;=40,"30-40",IF(HR_Data[[#This Row],[Age]]&lt;=50,"41-50","50+")))</f>
        <v>Under 30</v>
      </c>
      <c r="AK1124" t="str">
        <f>IF(HR_Data[[#This Row],[MonthlyIncome]]&lt;4000,"Low",IF(HR_Data[[#This Row],[MonthlyIncome]]&lt;=7000,"Medium","High"))</f>
        <v>Medium</v>
      </c>
      <c r="AL112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25" spans="1:38" hidden="1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tr">
        <f>IF(HR_Data[[#This Row],[Age]]&lt;30,"Under 30",IF(HR_Data[[#This Row],[Age]]&lt;=40,"30-40",IF(HR_Data[[#This Row],[Age]]&lt;=50,"41-50","50+")))</f>
        <v>30-40</v>
      </c>
      <c r="AK1125" t="str">
        <f>IF(HR_Data[[#This Row],[MonthlyIncome]]&lt;4000,"Low",IF(HR_Data[[#This Row],[MonthlyIncome]]&lt;=7000,"Medium","High"))</f>
        <v>Medium</v>
      </c>
      <c r="AL112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26" spans="1:38" hidden="1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tr">
        <f>IF(HR_Data[[#This Row],[Age]]&lt;30,"Under 30",IF(HR_Data[[#This Row],[Age]]&lt;=40,"30-40",IF(HR_Data[[#This Row],[Age]]&lt;=50,"41-50","50+")))</f>
        <v>30-40</v>
      </c>
      <c r="AK1126" t="str">
        <f>IF(HR_Data[[#This Row],[MonthlyIncome]]&lt;4000,"Low",IF(HR_Data[[#This Row],[MonthlyIncome]]&lt;=7000,"Medium","High"))</f>
        <v>High</v>
      </c>
      <c r="AL112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27" spans="1:38" hidden="1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tr">
        <f>IF(HR_Data[[#This Row],[Age]]&lt;30,"Under 30",IF(HR_Data[[#This Row],[Age]]&lt;=40,"30-40",IF(HR_Data[[#This Row],[Age]]&lt;=50,"41-50","50+")))</f>
        <v>Under 30</v>
      </c>
      <c r="AK1127" t="str">
        <f>IF(HR_Data[[#This Row],[MonthlyIncome]]&lt;4000,"Low",IF(HR_Data[[#This Row],[MonthlyIncome]]&lt;=7000,"Medium","High"))</f>
        <v>High</v>
      </c>
      <c r="AL112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28" spans="1:38" hidden="1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tr">
        <f>IF(HR_Data[[#This Row],[Age]]&lt;30,"Under 30",IF(HR_Data[[#This Row],[Age]]&lt;=40,"30-40",IF(HR_Data[[#This Row],[Age]]&lt;=50,"41-50","50+")))</f>
        <v>41-50</v>
      </c>
      <c r="AK1128" t="str">
        <f>IF(HR_Data[[#This Row],[MonthlyIncome]]&lt;4000,"Low",IF(HR_Data[[#This Row],[MonthlyIncome]]&lt;=7000,"Medium","High"))</f>
        <v>High</v>
      </c>
      <c r="AL1128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129" spans="1:38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tr">
        <f>IF(HR_Data[[#This Row],[Age]]&lt;30,"Under 30",IF(HR_Data[[#This Row],[Age]]&lt;=40,"30-40",IF(HR_Data[[#This Row],[Age]]&lt;=50,"41-50","50+")))</f>
        <v>Under 30</v>
      </c>
      <c r="AK1129" t="str">
        <f>IF(HR_Data[[#This Row],[MonthlyIncome]]&lt;4000,"Low",IF(HR_Data[[#This Row],[MonthlyIncome]]&lt;=7000,"Medium","High"))</f>
        <v>Low</v>
      </c>
      <c r="AL112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30" spans="1:38" hidden="1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tr">
        <f>IF(HR_Data[[#This Row],[Age]]&lt;30,"Under 30",IF(HR_Data[[#This Row],[Age]]&lt;=40,"30-40",IF(HR_Data[[#This Row],[Age]]&lt;=50,"41-50","50+")))</f>
        <v>30-40</v>
      </c>
      <c r="AK1130" t="str">
        <f>IF(HR_Data[[#This Row],[MonthlyIncome]]&lt;4000,"Low",IF(HR_Data[[#This Row],[MonthlyIncome]]&lt;=7000,"Medium","High"))</f>
        <v>Medium</v>
      </c>
      <c r="AL113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31" spans="1:38" hidden="1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tr">
        <f>IF(HR_Data[[#This Row],[Age]]&lt;30,"Under 30",IF(HR_Data[[#This Row],[Age]]&lt;=40,"30-40",IF(HR_Data[[#This Row],[Age]]&lt;=50,"41-50","50+")))</f>
        <v>41-50</v>
      </c>
      <c r="AK1131" t="str">
        <f>IF(HR_Data[[#This Row],[MonthlyIncome]]&lt;4000,"Low",IF(HR_Data[[#This Row],[MonthlyIncome]]&lt;=7000,"Medium","High"))</f>
        <v>High</v>
      </c>
      <c r="AL1131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132" spans="1:38" hidden="1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tr">
        <f>IF(HR_Data[[#This Row],[Age]]&lt;30,"Under 30",IF(HR_Data[[#This Row],[Age]]&lt;=40,"30-40",IF(HR_Data[[#This Row],[Age]]&lt;=50,"41-50","50+")))</f>
        <v>30-40</v>
      </c>
      <c r="AK1132" t="str">
        <f>IF(HR_Data[[#This Row],[MonthlyIncome]]&lt;4000,"Low",IF(HR_Data[[#This Row],[MonthlyIncome]]&lt;=7000,"Medium","High"))</f>
        <v>Low</v>
      </c>
      <c r="AL113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33" spans="1:38" hidden="1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tr">
        <f>IF(HR_Data[[#This Row],[Age]]&lt;30,"Under 30",IF(HR_Data[[#This Row],[Age]]&lt;=40,"30-40",IF(HR_Data[[#This Row],[Age]]&lt;=50,"41-50","50+")))</f>
        <v>30-40</v>
      </c>
      <c r="AK1133" t="str">
        <f>IF(HR_Data[[#This Row],[MonthlyIncome]]&lt;4000,"Low",IF(HR_Data[[#This Row],[MonthlyIncome]]&lt;=7000,"Medium","High"))</f>
        <v>Medium</v>
      </c>
      <c r="AL113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34" spans="1:38" hidden="1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tr">
        <f>IF(HR_Data[[#This Row],[Age]]&lt;30,"Under 30",IF(HR_Data[[#This Row],[Age]]&lt;=40,"30-40",IF(HR_Data[[#This Row],[Age]]&lt;=50,"41-50","50+")))</f>
        <v>30-40</v>
      </c>
      <c r="AK1134" t="str">
        <f>IF(HR_Data[[#This Row],[MonthlyIncome]]&lt;4000,"Low",IF(HR_Data[[#This Row],[MonthlyIncome]]&lt;=7000,"Medium","High"))</f>
        <v>Medium</v>
      </c>
      <c r="AL113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35" spans="1:38" hidden="1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tr">
        <f>IF(HR_Data[[#This Row],[Age]]&lt;30,"Under 30",IF(HR_Data[[#This Row],[Age]]&lt;=40,"30-40",IF(HR_Data[[#This Row],[Age]]&lt;=50,"41-50","50+")))</f>
        <v>41-50</v>
      </c>
      <c r="AK1135" t="str">
        <f>IF(HR_Data[[#This Row],[MonthlyIncome]]&lt;4000,"Low",IF(HR_Data[[#This Row],[MonthlyIncome]]&lt;=7000,"Medium","High"))</f>
        <v>Medium</v>
      </c>
      <c r="AL113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36" spans="1:38" hidden="1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tr">
        <f>IF(HR_Data[[#This Row],[Age]]&lt;30,"Under 30",IF(HR_Data[[#This Row],[Age]]&lt;=40,"30-40",IF(HR_Data[[#This Row],[Age]]&lt;=50,"41-50","50+")))</f>
        <v>30-40</v>
      </c>
      <c r="AK1136" t="str">
        <f>IF(HR_Data[[#This Row],[MonthlyIncome]]&lt;4000,"Low",IF(HR_Data[[#This Row],[MonthlyIncome]]&lt;=7000,"Medium","High"))</f>
        <v>Low</v>
      </c>
      <c r="AL1136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137" spans="1:38" hidden="1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tr">
        <f>IF(HR_Data[[#This Row],[Age]]&lt;30,"Under 30",IF(HR_Data[[#This Row],[Age]]&lt;=40,"30-40",IF(HR_Data[[#This Row],[Age]]&lt;=50,"41-50","50+")))</f>
        <v>41-50</v>
      </c>
      <c r="AK1137" t="str">
        <f>IF(HR_Data[[#This Row],[MonthlyIncome]]&lt;4000,"Low",IF(HR_Data[[#This Row],[MonthlyIncome]]&lt;=7000,"Medium","High"))</f>
        <v>High</v>
      </c>
      <c r="AL1137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138" spans="1:38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tr">
        <f>IF(HR_Data[[#This Row],[Age]]&lt;30,"Under 30",IF(HR_Data[[#This Row],[Age]]&lt;=40,"30-40",IF(HR_Data[[#This Row],[Age]]&lt;=50,"41-50","50+")))</f>
        <v>Under 30</v>
      </c>
      <c r="AK1138" t="str">
        <f>IF(HR_Data[[#This Row],[MonthlyIncome]]&lt;4000,"Low",IF(HR_Data[[#This Row],[MonthlyIncome]]&lt;=7000,"Medium","High"))</f>
        <v>Low</v>
      </c>
      <c r="AL1138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139" spans="1:38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tr">
        <f>IF(HR_Data[[#This Row],[Age]]&lt;30,"Under 30",IF(HR_Data[[#This Row],[Age]]&lt;=40,"30-40",IF(HR_Data[[#This Row],[Age]]&lt;=50,"41-50","50+")))</f>
        <v>Under 30</v>
      </c>
      <c r="AK1139" t="str">
        <f>IF(HR_Data[[#This Row],[MonthlyIncome]]&lt;4000,"Low",IF(HR_Data[[#This Row],[MonthlyIncome]]&lt;=7000,"Medium","High"))</f>
        <v>Low</v>
      </c>
      <c r="AL113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40" spans="1:38" hidden="1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tr">
        <f>IF(HR_Data[[#This Row],[Age]]&lt;30,"Under 30",IF(HR_Data[[#This Row],[Age]]&lt;=40,"30-40",IF(HR_Data[[#This Row],[Age]]&lt;=50,"41-50","50+")))</f>
        <v>41-50</v>
      </c>
      <c r="AK1140" t="str">
        <f>IF(HR_Data[[#This Row],[MonthlyIncome]]&lt;4000,"Low",IF(HR_Data[[#This Row],[MonthlyIncome]]&lt;=7000,"Medium","High"))</f>
        <v>High</v>
      </c>
      <c r="AL1140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141" spans="1:38" hidden="1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tr">
        <f>IF(HR_Data[[#This Row],[Age]]&lt;30,"Under 30",IF(HR_Data[[#This Row],[Age]]&lt;=40,"30-40",IF(HR_Data[[#This Row],[Age]]&lt;=50,"41-50","50+")))</f>
        <v>30-40</v>
      </c>
      <c r="AK1141" t="str">
        <f>IF(HR_Data[[#This Row],[MonthlyIncome]]&lt;4000,"Low",IF(HR_Data[[#This Row],[MonthlyIncome]]&lt;=7000,"Medium","High"))</f>
        <v>Low</v>
      </c>
      <c r="AL114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42" spans="1:38" hidden="1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tr">
        <f>IF(HR_Data[[#This Row],[Age]]&lt;30,"Under 30",IF(HR_Data[[#This Row],[Age]]&lt;=40,"30-40",IF(HR_Data[[#This Row],[Age]]&lt;=50,"41-50","50+")))</f>
        <v>41-50</v>
      </c>
      <c r="AK1142" t="str">
        <f>IF(HR_Data[[#This Row],[MonthlyIncome]]&lt;4000,"Low",IF(HR_Data[[#This Row],[MonthlyIncome]]&lt;=7000,"Medium","High"))</f>
        <v>High</v>
      </c>
      <c r="AL1142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143" spans="1:38" hidden="1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tr">
        <f>IF(HR_Data[[#This Row],[Age]]&lt;30,"Under 30",IF(HR_Data[[#This Row],[Age]]&lt;=40,"30-40",IF(HR_Data[[#This Row],[Age]]&lt;=50,"41-50","50+")))</f>
        <v>30-40</v>
      </c>
      <c r="AK1143" t="str">
        <f>IF(HR_Data[[#This Row],[MonthlyIncome]]&lt;4000,"Low",IF(HR_Data[[#This Row],[MonthlyIncome]]&lt;=7000,"Medium","High"))</f>
        <v>Low</v>
      </c>
      <c r="AL114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44" spans="1:38" hidden="1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tr">
        <f>IF(HR_Data[[#This Row],[Age]]&lt;30,"Under 30",IF(HR_Data[[#This Row],[Age]]&lt;=40,"30-40",IF(HR_Data[[#This Row],[Age]]&lt;=50,"41-50","50+")))</f>
        <v>41-50</v>
      </c>
      <c r="AK1144" t="str">
        <f>IF(HR_Data[[#This Row],[MonthlyIncome]]&lt;4000,"Low",IF(HR_Data[[#This Row],[MonthlyIncome]]&lt;=7000,"Medium","High"))</f>
        <v>Medium</v>
      </c>
      <c r="AL114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45" spans="1:38" hidden="1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tr">
        <f>IF(HR_Data[[#This Row],[Age]]&lt;30,"Under 30",IF(HR_Data[[#This Row],[Age]]&lt;=40,"30-40",IF(HR_Data[[#This Row],[Age]]&lt;=50,"41-50","50+")))</f>
        <v>41-50</v>
      </c>
      <c r="AK1145" t="str">
        <f>IF(HR_Data[[#This Row],[MonthlyIncome]]&lt;4000,"Low",IF(HR_Data[[#This Row],[MonthlyIncome]]&lt;=7000,"Medium","High"))</f>
        <v>Medium</v>
      </c>
      <c r="AL114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46" spans="1:38" hidden="1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tr">
        <f>IF(HR_Data[[#This Row],[Age]]&lt;30,"Under 30",IF(HR_Data[[#This Row],[Age]]&lt;=40,"30-40",IF(HR_Data[[#This Row],[Age]]&lt;=50,"41-50","50+")))</f>
        <v>30-40</v>
      </c>
      <c r="AK1146" t="str">
        <f>IF(HR_Data[[#This Row],[MonthlyIncome]]&lt;4000,"Low",IF(HR_Data[[#This Row],[MonthlyIncome]]&lt;=7000,"Medium","High"))</f>
        <v>Medium</v>
      </c>
      <c r="AL114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47" spans="1:38" hidden="1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tr">
        <f>IF(HR_Data[[#This Row],[Age]]&lt;30,"Under 30",IF(HR_Data[[#This Row],[Age]]&lt;=40,"30-40",IF(HR_Data[[#This Row],[Age]]&lt;=50,"41-50","50+")))</f>
        <v>30-40</v>
      </c>
      <c r="AK1147" t="str">
        <f>IF(HR_Data[[#This Row],[MonthlyIncome]]&lt;4000,"Low",IF(HR_Data[[#This Row],[MonthlyIncome]]&lt;=7000,"Medium","High"))</f>
        <v>Medium</v>
      </c>
      <c r="AL114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48" spans="1:38" hidden="1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tr">
        <f>IF(HR_Data[[#This Row],[Age]]&lt;30,"Under 30",IF(HR_Data[[#This Row],[Age]]&lt;=40,"30-40",IF(HR_Data[[#This Row],[Age]]&lt;=50,"41-50","50+")))</f>
        <v>30-40</v>
      </c>
      <c r="AK1148" t="str">
        <f>IF(HR_Data[[#This Row],[MonthlyIncome]]&lt;4000,"Low",IF(HR_Data[[#This Row],[MonthlyIncome]]&lt;=7000,"Medium","High"))</f>
        <v>Medium</v>
      </c>
      <c r="AL114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49" spans="1:38" hidden="1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tr">
        <f>IF(HR_Data[[#This Row],[Age]]&lt;30,"Under 30",IF(HR_Data[[#This Row],[Age]]&lt;=40,"30-40",IF(HR_Data[[#This Row],[Age]]&lt;=50,"41-50","50+")))</f>
        <v>41-50</v>
      </c>
      <c r="AK1149" t="str">
        <f>IF(HR_Data[[#This Row],[MonthlyIncome]]&lt;4000,"Low",IF(HR_Data[[#This Row],[MonthlyIncome]]&lt;=7000,"Medium","High"))</f>
        <v>Low</v>
      </c>
      <c r="AL1149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50" spans="1:38" hidden="1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tr">
        <f>IF(HR_Data[[#This Row],[Age]]&lt;30,"Under 30",IF(HR_Data[[#This Row],[Age]]&lt;=40,"30-40",IF(HR_Data[[#This Row],[Age]]&lt;=50,"41-50","50+")))</f>
        <v>30-40</v>
      </c>
      <c r="AK1150" t="str">
        <f>IF(HR_Data[[#This Row],[MonthlyIncome]]&lt;4000,"Low",IF(HR_Data[[#This Row],[MonthlyIncome]]&lt;=7000,"Medium","High"))</f>
        <v>Medium</v>
      </c>
      <c r="AL115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51" spans="1:38" hidden="1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tr">
        <f>IF(HR_Data[[#This Row],[Age]]&lt;30,"Under 30",IF(HR_Data[[#This Row],[Age]]&lt;=40,"30-40",IF(HR_Data[[#This Row],[Age]]&lt;=50,"41-50","50+")))</f>
        <v>Under 30</v>
      </c>
      <c r="AK1151" t="str">
        <f>IF(HR_Data[[#This Row],[MonthlyIncome]]&lt;4000,"Low",IF(HR_Data[[#This Row],[MonthlyIncome]]&lt;=7000,"Medium","High"))</f>
        <v>Medium</v>
      </c>
      <c r="AL115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52" spans="1:38" hidden="1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tr">
        <f>IF(HR_Data[[#This Row],[Age]]&lt;30,"Under 30",IF(HR_Data[[#This Row],[Age]]&lt;=40,"30-40",IF(HR_Data[[#This Row],[Age]]&lt;=50,"41-50","50+")))</f>
        <v>30-40</v>
      </c>
      <c r="AK1152" t="str">
        <f>IF(HR_Data[[#This Row],[MonthlyIncome]]&lt;4000,"Low",IF(HR_Data[[#This Row],[MonthlyIncome]]&lt;=7000,"Medium","High"))</f>
        <v>Medium</v>
      </c>
      <c r="AL1152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153" spans="1:38" hidden="1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tr">
        <f>IF(HR_Data[[#This Row],[Age]]&lt;30,"Under 30",IF(HR_Data[[#This Row],[Age]]&lt;=40,"30-40",IF(HR_Data[[#This Row],[Age]]&lt;=50,"41-50","50+")))</f>
        <v>Under 30</v>
      </c>
      <c r="AK1153" t="str">
        <f>IF(HR_Data[[#This Row],[MonthlyIncome]]&lt;4000,"Low",IF(HR_Data[[#This Row],[MonthlyIncome]]&lt;=7000,"Medium","High"))</f>
        <v>Medium</v>
      </c>
      <c r="AL115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54" spans="1:38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tr">
        <f>IF(HR_Data[[#This Row],[Age]]&lt;30,"Under 30",IF(HR_Data[[#This Row],[Age]]&lt;=40,"30-40",IF(HR_Data[[#This Row],[Age]]&lt;=50,"41-50","50+")))</f>
        <v>Under 30</v>
      </c>
      <c r="AK1154" t="str">
        <f>IF(HR_Data[[#This Row],[MonthlyIncome]]&lt;4000,"Low",IF(HR_Data[[#This Row],[MonthlyIncome]]&lt;=7000,"Medium","High"))</f>
        <v>Low</v>
      </c>
      <c r="AL115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55" spans="1:38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t="str">
        <f>IF(HR_Data[[#This Row],[Age]]&lt;30,"Under 30",IF(HR_Data[[#This Row],[Age]]&lt;=40,"30-40",IF(HR_Data[[#This Row],[Age]]&lt;=50,"41-50","50+")))</f>
        <v>Under 30</v>
      </c>
      <c r="AK1155" t="str">
        <f>IF(HR_Data[[#This Row],[MonthlyIncome]]&lt;4000,"Low",IF(HR_Data[[#This Row],[MonthlyIncome]]&lt;=7000,"Medium","High"))</f>
        <v>Low</v>
      </c>
      <c r="AL1155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156" spans="1:38" hidden="1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tr">
        <f>IF(HR_Data[[#This Row],[Age]]&lt;30,"Under 30",IF(HR_Data[[#This Row],[Age]]&lt;=40,"30-40",IF(HR_Data[[#This Row],[Age]]&lt;=50,"41-50","50+")))</f>
        <v>41-50</v>
      </c>
      <c r="AK1156" t="str">
        <f>IF(HR_Data[[#This Row],[MonthlyIncome]]&lt;4000,"Low",IF(HR_Data[[#This Row],[MonthlyIncome]]&lt;=7000,"Medium","High"))</f>
        <v>High</v>
      </c>
      <c r="AL115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57" spans="1:38" hidden="1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tr">
        <f>IF(HR_Data[[#This Row],[Age]]&lt;30,"Under 30",IF(HR_Data[[#This Row],[Age]]&lt;=40,"30-40",IF(HR_Data[[#This Row],[Age]]&lt;=50,"41-50","50+")))</f>
        <v>30-40</v>
      </c>
      <c r="AK1157" t="str">
        <f>IF(HR_Data[[#This Row],[MonthlyIncome]]&lt;4000,"Low",IF(HR_Data[[#This Row],[MonthlyIncome]]&lt;=7000,"Medium","High"))</f>
        <v>Low</v>
      </c>
      <c r="AL115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58" spans="1:38" hidden="1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tr">
        <f>IF(HR_Data[[#This Row],[Age]]&lt;30,"Under 30",IF(HR_Data[[#This Row],[Age]]&lt;=40,"30-40",IF(HR_Data[[#This Row],[Age]]&lt;=50,"41-50","50+")))</f>
        <v>30-40</v>
      </c>
      <c r="AK1158" t="str">
        <f>IF(HR_Data[[#This Row],[MonthlyIncome]]&lt;4000,"Low",IF(HR_Data[[#This Row],[MonthlyIncome]]&lt;=7000,"Medium","High"))</f>
        <v>High</v>
      </c>
      <c r="AL1158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159" spans="1:38" hidden="1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tr">
        <f>IF(HR_Data[[#This Row],[Age]]&lt;30,"Under 30",IF(HR_Data[[#This Row],[Age]]&lt;=40,"30-40",IF(HR_Data[[#This Row],[Age]]&lt;=50,"41-50","50+")))</f>
        <v>30-40</v>
      </c>
      <c r="AK1159" t="str">
        <f>IF(HR_Data[[#This Row],[MonthlyIncome]]&lt;4000,"Low",IF(HR_Data[[#This Row],[MonthlyIncome]]&lt;=7000,"Medium","High"))</f>
        <v>Medium</v>
      </c>
      <c r="AL1159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160" spans="1:38" hidden="1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tr">
        <f>IF(HR_Data[[#This Row],[Age]]&lt;30,"Under 30",IF(HR_Data[[#This Row],[Age]]&lt;=40,"30-40",IF(HR_Data[[#This Row],[Age]]&lt;=50,"41-50","50+")))</f>
        <v>30-40</v>
      </c>
      <c r="AK1160" t="str">
        <f>IF(HR_Data[[#This Row],[MonthlyIncome]]&lt;4000,"Low",IF(HR_Data[[#This Row],[MonthlyIncome]]&lt;=7000,"Medium","High"))</f>
        <v>Medium</v>
      </c>
      <c r="AL116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61" spans="1:38" hidden="1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tr">
        <f>IF(HR_Data[[#This Row],[Age]]&lt;30,"Under 30",IF(HR_Data[[#This Row],[Age]]&lt;=40,"30-40",IF(HR_Data[[#This Row],[Age]]&lt;=50,"41-50","50+")))</f>
        <v>30-40</v>
      </c>
      <c r="AK1161" t="str">
        <f>IF(HR_Data[[#This Row],[MonthlyIncome]]&lt;4000,"Low",IF(HR_Data[[#This Row],[MonthlyIncome]]&lt;=7000,"Medium","High"))</f>
        <v>Medium</v>
      </c>
      <c r="AL116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62" spans="1:38" hidden="1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tr">
        <f>IF(HR_Data[[#This Row],[Age]]&lt;30,"Under 30",IF(HR_Data[[#This Row],[Age]]&lt;=40,"30-40",IF(HR_Data[[#This Row],[Age]]&lt;=50,"41-50","50+")))</f>
        <v>41-50</v>
      </c>
      <c r="AK1162" t="str">
        <f>IF(HR_Data[[#This Row],[MonthlyIncome]]&lt;4000,"Low",IF(HR_Data[[#This Row],[MonthlyIncome]]&lt;=7000,"Medium","High"))</f>
        <v>Medium</v>
      </c>
      <c r="AL116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63" spans="1:38" hidden="1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tr">
        <f>IF(HR_Data[[#This Row],[Age]]&lt;30,"Under 30",IF(HR_Data[[#This Row],[Age]]&lt;=40,"30-40",IF(HR_Data[[#This Row],[Age]]&lt;=50,"41-50","50+")))</f>
        <v>30-40</v>
      </c>
      <c r="AK1163" t="str">
        <f>IF(HR_Data[[#This Row],[MonthlyIncome]]&lt;4000,"Low",IF(HR_Data[[#This Row],[MonthlyIncome]]&lt;=7000,"Medium","High"))</f>
        <v>High</v>
      </c>
      <c r="AL116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64" spans="1:38" hidden="1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tr">
        <f>IF(HR_Data[[#This Row],[Age]]&lt;30,"Under 30",IF(HR_Data[[#This Row],[Age]]&lt;=40,"30-40",IF(HR_Data[[#This Row],[Age]]&lt;=50,"41-50","50+")))</f>
        <v>30-40</v>
      </c>
      <c r="AK1164" t="str">
        <f>IF(HR_Data[[#This Row],[MonthlyIncome]]&lt;4000,"Low",IF(HR_Data[[#This Row],[MonthlyIncome]]&lt;=7000,"Medium","High"))</f>
        <v>High</v>
      </c>
      <c r="AL1164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165" spans="1:38" hidden="1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tr">
        <f>IF(HR_Data[[#This Row],[Age]]&lt;30,"Under 30",IF(HR_Data[[#This Row],[Age]]&lt;=40,"30-40",IF(HR_Data[[#This Row],[Age]]&lt;=50,"41-50","50+")))</f>
        <v>30-40</v>
      </c>
      <c r="AK1165" t="str">
        <f>IF(HR_Data[[#This Row],[MonthlyIncome]]&lt;4000,"Low",IF(HR_Data[[#This Row],[MonthlyIncome]]&lt;=7000,"Medium","High"))</f>
        <v>Low</v>
      </c>
      <c r="AL116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66" spans="1:38" hidden="1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tr">
        <f>IF(HR_Data[[#This Row],[Age]]&lt;30,"Under 30",IF(HR_Data[[#This Row],[Age]]&lt;=40,"30-40",IF(HR_Data[[#This Row],[Age]]&lt;=50,"41-50","50+")))</f>
        <v>30-40</v>
      </c>
      <c r="AK1166" t="str">
        <f>IF(HR_Data[[#This Row],[MonthlyIncome]]&lt;4000,"Low",IF(HR_Data[[#This Row],[MonthlyIncome]]&lt;=7000,"Medium","High"))</f>
        <v>High</v>
      </c>
      <c r="AL116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67" spans="1:38" hidden="1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tr">
        <f>IF(HR_Data[[#This Row],[Age]]&lt;30,"Under 30",IF(HR_Data[[#This Row],[Age]]&lt;=40,"30-40",IF(HR_Data[[#This Row],[Age]]&lt;=50,"41-50","50+")))</f>
        <v>41-50</v>
      </c>
      <c r="AK1167" t="str">
        <f>IF(HR_Data[[#This Row],[MonthlyIncome]]&lt;4000,"Low",IF(HR_Data[[#This Row],[MonthlyIncome]]&lt;=7000,"Medium","High"))</f>
        <v>Medium</v>
      </c>
      <c r="AL116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68" spans="1:38" hidden="1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tr">
        <f>IF(HR_Data[[#This Row],[Age]]&lt;30,"Under 30",IF(HR_Data[[#This Row],[Age]]&lt;=40,"30-40",IF(HR_Data[[#This Row],[Age]]&lt;=50,"41-50","50+")))</f>
        <v>41-50</v>
      </c>
      <c r="AK1168" t="str">
        <f>IF(HR_Data[[#This Row],[MonthlyIncome]]&lt;4000,"Low",IF(HR_Data[[#This Row],[MonthlyIncome]]&lt;=7000,"Medium","High"))</f>
        <v>High</v>
      </c>
      <c r="AL116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69" spans="1:38" hidden="1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tr">
        <f>IF(HR_Data[[#This Row],[Age]]&lt;30,"Under 30",IF(HR_Data[[#This Row],[Age]]&lt;=40,"30-40",IF(HR_Data[[#This Row],[Age]]&lt;=50,"41-50","50+")))</f>
        <v>30-40</v>
      </c>
      <c r="AK1169" t="str">
        <f>IF(HR_Data[[#This Row],[MonthlyIncome]]&lt;4000,"Low",IF(HR_Data[[#This Row],[MonthlyIncome]]&lt;=7000,"Medium","High"))</f>
        <v>Medium</v>
      </c>
      <c r="AL116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70" spans="1:38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tr">
        <f>IF(HR_Data[[#This Row],[Age]]&lt;30,"Under 30",IF(HR_Data[[#This Row],[Age]]&lt;=40,"30-40",IF(HR_Data[[#This Row],[Age]]&lt;=50,"41-50","50+")))</f>
        <v>Under 30</v>
      </c>
      <c r="AK1170" t="str">
        <f>IF(HR_Data[[#This Row],[MonthlyIncome]]&lt;4000,"Low",IF(HR_Data[[#This Row],[MonthlyIncome]]&lt;=7000,"Medium","High"))</f>
        <v>Low</v>
      </c>
      <c r="AL117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71" spans="1:38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tr">
        <f>IF(HR_Data[[#This Row],[Age]]&lt;30,"Under 30",IF(HR_Data[[#This Row],[Age]]&lt;=40,"30-40",IF(HR_Data[[#This Row],[Age]]&lt;=50,"41-50","50+")))</f>
        <v>Under 30</v>
      </c>
      <c r="AK1171" t="str">
        <f>IF(HR_Data[[#This Row],[MonthlyIncome]]&lt;4000,"Low",IF(HR_Data[[#This Row],[MonthlyIncome]]&lt;=7000,"Medium","High"))</f>
        <v>Low</v>
      </c>
      <c r="AL117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72" spans="1:38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tr">
        <f>IF(HR_Data[[#This Row],[Age]]&lt;30,"Under 30",IF(HR_Data[[#This Row],[Age]]&lt;=40,"30-40",IF(HR_Data[[#This Row],[Age]]&lt;=50,"41-50","50+")))</f>
        <v>Under 30</v>
      </c>
      <c r="AK1172" t="str">
        <f>IF(HR_Data[[#This Row],[MonthlyIncome]]&lt;4000,"Low",IF(HR_Data[[#This Row],[MonthlyIncome]]&lt;=7000,"Medium","High"))</f>
        <v>Low</v>
      </c>
      <c r="AL117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73" spans="1:38" hidden="1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tr">
        <f>IF(HR_Data[[#This Row],[Age]]&lt;30,"Under 30",IF(HR_Data[[#This Row],[Age]]&lt;=40,"30-40",IF(HR_Data[[#This Row],[Age]]&lt;=50,"41-50","50+")))</f>
        <v>30-40</v>
      </c>
      <c r="AK1173" t="str">
        <f>IF(HR_Data[[#This Row],[MonthlyIncome]]&lt;4000,"Low",IF(HR_Data[[#This Row],[MonthlyIncome]]&lt;=7000,"Medium","High"))</f>
        <v>Low</v>
      </c>
      <c r="AL117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74" spans="1:38" hidden="1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tr">
        <f>IF(HR_Data[[#This Row],[Age]]&lt;30,"Under 30",IF(HR_Data[[#This Row],[Age]]&lt;=40,"30-40",IF(HR_Data[[#This Row],[Age]]&lt;=50,"41-50","50+")))</f>
        <v>Under 30</v>
      </c>
      <c r="AK1174" t="str">
        <f>IF(HR_Data[[#This Row],[MonthlyIncome]]&lt;4000,"Low",IF(HR_Data[[#This Row],[MonthlyIncome]]&lt;=7000,"Medium","High"))</f>
        <v>Medium</v>
      </c>
      <c r="AL117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75" spans="1:38" hidden="1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tr">
        <f>IF(HR_Data[[#This Row],[Age]]&lt;30,"Under 30",IF(HR_Data[[#This Row],[Age]]&lt;=40,"30-40",IF(HR_Data[[#This Row],[Age]]&lt;=50,"41-50","50+")))</f>
        <v>30-40</v>
      </c>
      <c r="AK1175" t="str">
        <f>IF(HR_Data[[#This Row],[MonthlyIncome]]&lt;4000,"Low",IF(HR_Data[[#This Row],[MonthlyIncome]]&lt;=7000,"Medium","High"))</f>
        <v>High</v>
      </c>
      <c r="AL117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76" spans="1:38" hidden="1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tr">
        <f>IF(HR_Data[[#This Row],[Age]]&lt;30,"Under 30",IF(HR_Data[[#This Row],[Age]]&lt;=40,"30-40",IF(HR_Data[[#This Row],[Age]]&lt;=50,"41-50","50+")))</f>
        <v>Under 30</v>
      </c>
      <c r="AK1176" t="str">
        <f>IF(HR_Data[[#This Row],[MonthlyIncome]]&lt;4000,"Low",IF(HR_Data[[#This Row],[MonthlyIncome]]&lt;=7000,"Medium","High"))</f>
        <v>Medium</v>
      </c>
      <c r="AL117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77" spans="1:38" hidden="1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tr">
        <f>IF(HR_Data[[#This Row],[Age]]&lt;30,"Under 30",IF(HR_Data[[#This Row],[Age]]&lt;=40,"30-40",IF(HR_Data[[#This Row],[Age]]&lt;=50,"41-50","50+")))</f>
        <v>30-40</v>
      </c>
      <c r="AK1177" t="str">
        <f>IF(HR_Data[[#This Row],[MonthlyIncome]]&lt;4000,"Low",IF(HR_Data[[#This Row],[MonthlyIncome]]&lt;=7000,"Medium","High"))</f>
        <v>Medium</v>
      </c>
      <c r="AL117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78" spans="1:38" hidden="1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tr">
        <f>IF(HR_Data[[#This Row],[Age]]&lt;30,"Under 30",IF(HR_Data[[#This Row],[Age]]&lt;=40,"30-40",IF(HR_Data[[#This Row],[Age]]&lt;=50,"41-50","50+")))</f>
        <v>41-50</v>
      </c>
      <c r="AK1178" t="str">
        <f>IF(HR_Data[[#This Row],[MonthlyIncome]]&lt;4000,"Low",IF(HR_Data[[#This Row],[MonthlyIncome]]&lt;=7000,"Medium","High"))</f>
        <v>High</v>
      </c>
      <c r="AL117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79" spans="1:38" hidden="1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tr">
        <f>IF(HR_Data[[#This Row],[Age]]&lt;30,"Under 30",IF(HR_Data[[#This Row],[Age]]&lt;=40,"30-40",IF(HR_Data[[#This Row],[Age]]&lt;=50,"41-50","50+")))</f>
        <v>41-50</v>
      </c>
      <c r="AK1179" t="str">
        <f>IF(HR_Data[[#This Row],[MonthlyIncome]]&lt;4000,"Low",IF(HR_Data[[#This Row],[MonthlyIncome]]&lt;=7000,"Medium","High"))</f>
        <v>High</v>
      </c>
      <c r="AL1179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180" spans="1:38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tr">
        <f>IF(HR_Data[[#This Row],[Age]]&lt;30,"Under 30",IF(HR_Data[[#This Row],[Age]]&lt;=40,"30-40",IF(HR_Data[[#This Row],[Age]]&lt;=50,"41-50","50+")))</f>
        <v>Under 30</v>
      </c>
      <c r="AK1180" t="str">
        <f>IF(HR_Data[[#This Row],[MonthlyIncome]]&lt;4000,"Low",IF(HR_Data[[#This Row],[MonthlyIncome]]&lt;=7000,"Medium","High"))</f>
        <v>Low</v>
      </c>
      <c r="AL118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81" spans="1:38" hidden="1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tr">
        <f>IF(HR_Data[[#This Row],[Age]]&lt;30,"Under 30",IF(HR_Data[[#This Row],[Age]]&lt;=40,"30-40",IF(HR_Data[[#This Row],[Age]]&lt;=50,"41-50","50+")))</f>
        <v>30-40</v>
      </c>
      <c r="AK1181" t="str">
        <f>IF(HR_Data[[#This Row],[MonthlyIncome]]&lt;4000,"Low",IF(HR_Data[[#This Row],[MonthlyIncome]]&lt;=7000,"Medium","High"))</f>
        <v>Medium</v>
      </c>
      <c r="AL1181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182" spans="1:38" hidden="1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tr">
        <f>IF(HR_Data[[#This Row],[Age]]&lt;30,"Under 30",IF(HR_Data[[#This Row],[Age]]&lt;=40,"30-40",IF(HR_Data[[#This Row],[Age]]&lt;=50,"41-50","50+")))</f>
        <v>30-40</v>
      </c>
      <c r="AK1182" t="str">
        <f>IF(HR_Data[[#This Row],[MonthlyIncome]]&lt;4000,"Low",IF(HR_Data[[#This Row],[MonthlyIncome]]&lt;=7000,"Medium","High"))</f>
        <v>Low</v>
      </c>
      <c r="AL118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83" spans="1:38" hidden="1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tr">
        <f>IF(HR_Data[[#This Row],[Age]]&lt;30,"Under 30",IF(HR_Data[[#This Row],[Age]]&lt;=40,"30-40",IF(HR_Data[[#This Row],[Age]]&lt;=50,"41-50","50+")))</f>
        <v>41-50</v>
      </c>
      <c r="AK1183" t="str">
        <f>IF(HR_Data[[#This Row],[MonthlyIncome]]&lt;4000,"Low",IF(HR_Data[[#This Row],[MonthlyIncome]]&lt;=7000,"Medium","High"))</f>
        <v>High</v>
      </c>
      <c r="AL1183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184" spans="1:38" hidden="1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tr">
        <f>IF(HR_Data[[#This Row],[Age]]&lt;30,"Under 30",IF(HR_Data[[#This Row],[Age]]&lt;=40,"30-40",IF(HR_Data[[#This Row],[Age]]&lt;=50,"41-50","50+")))</f>
        <v>30-40</v>
      </c>
      <c r="AK1184" t="str">
        <f>IF(HR_Data[[#This Row],[MonthlyIncome]]&lt;4000,"Low",IF(HR_Data[[#This Row],[MonthlyIncome]]&lt;=7000,"Medium","High"))</f>
        <v>Medium</v>
      </c>
      <c r="AL118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85" spans="1:38" hidden="1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tr">
        <f>IF(HR_Data[[#This Row],[Age]]&lt;30,"Under 30",IF(HR_Data[[#This Row],[Age]]&lt;=40,"30-40",IF(HR_Data[[#This Row],[Age]]&lt;=50,"41-50","50+")))</f>
        <v>30-40</v>
      </c>
      <c r="AK1185" t="str">
        <f>IF(HR_Data[[#This Row],[MonthlyIncome]]&lt;4000,"Low",IF(HR_Data[[#This Row],[MonthlyIncome]]&lt;=7000,"Medium","High"))</f>
        <v>Medium</v>
      </c>
      <c r="AL118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86" spans="1:38" hidden="1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tr">
        <f>IF(HR_Data[[#This Row],[Age]]&lt;30,"Under 30",IF(HR_Data[[#This Row],[Age]]&lt;=40,"30-40",IF(HR_Data[[#This Row],[Age]]&lt;=50,"41-50","50+")))</f>
        <v>50+</v>
      </c>
      <c r="AK1186" t="str">
        <f>IF(HR_Data[[#This Row],[MonthlyIncome]]&lt;4000,"Low",IF(HR_Data[[#This Row],[MonthlyIncome]]&lt;=7000,"Medium","High"))</f>
        <v>High</v>
      </c>
      <c r="AL118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87" spans="1:38" hidden="1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tr">
        <f>IF(HR_Data[[#This Row],[Age]]&lt;30,"Under 30",IF(HR_Data[[#This Row],[Age]]&lt;=40,"30-40",IF(HR_Data[[#This Row],[Age]]&lt;=50,"41-50","50+")))</f>
        <v>41-50</v>
      </c>
      <c r="AK1187" t="str">
        <f>IF(HR_Data[[#This Row],[MonthlyIncome]]&lt;4000,"Low",IF(HR_Data[[#This Row],[MonthlyIncome]]&lt;=7000,"Medium","High"))</f>
        <v>High</v>
      </c>
      <c r="AL1187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188" spans="1:38" hidden="1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tr">
        <f>IF(HR_Data[[#This Row],[Age]]&lt;30,"Under 30",IF(HR_Data[[#This Row],[Age]]&lt;=40,"30-40",IF(HR_Data[[#This Row],[Age]]&lt;=50,"41-50","50+")))</f>
        <v>30-40</v>
      </c>
      <c r="AK1188" t="str">
        <f>IF(HR_Data[[#This Row],[MonthlyIncome]]&lt;4000,"Low",IF(HR_Data[[#This Row],[MonthlyIncome]]&lt;=7000,"Medium","High"))</f>
        <v>Medium</v>
      </c>
      <c r="AL1188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189" spans="1:38" hidden="1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tr">
        <f>IF(HR_Data[[#This Row],[Age]]&lt;30,"Under 30",IF(HR_Data[[#This Row],[Age]]&lt;=40,"30-40",IF(HR_Data[[#This Row],[Age]]&lt;=50,"41-50","50+")))</f>
        <v>30-40</v>
      </c>
      <c r="AK1189" t="str">
        <f>IF(HR_Data[[#This Row],[MonthlyIncome]]&lt;4000,"Low",IF(HR_Data[[#This Row],[MonthlyIncome]]&lt;=7000,"Medium","High"))</f>
        <v>Medium</v>
      </c>
      <c r="AL1189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190" spans="1:38" hidden="1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tr">
        <f>IF(HR_Data[[#This Row],[Age]]&lt;30,"Under 30",IF(HR_Data[[#This Row],[Age]]&lt;=40,"30-40",IF(HR_Data[[#This Row],[Age]]&lt;=50,"41-50","50+")))</f>
        <v>Under 30</v>
      </c>
      <c r="AK1190" t="str">
        <f>IF(HR_Data[[#This Row],[MonthlyIncome]]&lt;4000,"Low",IF(HR_Data[[#This Row],[MonthlyIncome]]&lt;=7000,"Medium","High"))</f>
        <v>Medium</v>
      </c>
      <c r="AL119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91" spans="1:38" hidden="1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tr">
        <f>IF(HR_Data[[#This Row],[Age]]&lt;30,"Under 30",IF(HR_Data[[#This Row],[Age]]&lt;=40,"30-40",IF(HR_Data[[#This Row],[Age]]&lt;=50,"41-50","50+")))</f>
        <v>30-40</v>
      </c>
      <c r="AK1191" t="str">
        <f>IF(HR_Data[[#This Row],[MonthlyIncome]]&lt;4000,"Low",IF(HR_Data[[#This Row],[MonthlyIncome]]&lt;=7000,"Medium","High"))</f>
        <v>Medium</v>
      </c>
      <c r="AL119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92" spans="1:38" hidden="1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tr">
        <f>IF(HR_Data[[#This Row],[Age]]&lt;30,"Under 30",IF(HR_Data[[#This Row],[Age]]&lt;=40,"30-40",IF(HR_Data[[#This Row],[Age]]&lt;=50,"41-50","50+")))</f>
        <v>30-40</v>
      </c>
      <c r="AK1192" t="str">
        <f>IF(HR_Data[[#This Row],[MonthlyIncome]]&lt;4000,"Low",IF(HR_Data[[#This Row],[MonthlyIncome]]&lt;=7000,"Medium","High"))</f>
        <v>Medium</v>
      </c>
      <c r="AL119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93" spans="1:38" hidden="1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tr">
        <f>IF(HR_Data[[#This Row],[Age]]&lt;30,"Under 30",IF(HR_Data[[#This Row],[Age]]&lt;=40,"30-40",IF(HR_Data[[#This Row],[Age]]&lt;=50,"41-50","50+")))</f>
        <v>30-40</v>
      </c>
      <c r="AK1193" t="str">
        <f>IF(HR_Data[[#This Row],[MonthlyIncome]]&lt;4000,"Low",IF(HR_Data[[#This Row],[MonthlyIncome]]&lt;=7000,"Medium","High"))</f>
        <v>Medium</v>
      </c>
      <c r="AL119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94" spans="1:38" hidden="1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tr">
        <f>IF(HR_Data[[#This Row],[Age]]&lt;30,"Under 30",IF(HR_Data[[#This Row],[Age]]&lt;=40,"30-40",IF(HR_Data[[#This Row],[Age]]&lt;=50,"41-50","50+")))</f>
        <v>41-50</v>
      </c>
      <c r="AK1194" t="str">
        <f>IF(HR_Data[[#This Row],[MonthlyIncome]]&lt;4000,"Low",IF(HR_Data[[#This Row],[MonthlyIncome]]&lt;=7000,"Medium","High"))</f>
        <v>Low</v>
      </c>
      <c r="AL119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95" spans="1:38" hidden="1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tr">
        <f>IF(HR_Data[[#This Row],[Age]]&lt;30,"Under 30",IF(HR_Data[[#This Row],[Age]]&lt;=40,"30-40",IF(HR_Data[[#This Row],[Age]]&lt;=50,"41-50","50+")))</f>
        <v>30-40</v>
      </c>
      <c r="AK1195" t="str">
        <f>IF(HR_Data[[#This Row],[MonthlyIncome]]&lt;4000,"Low",IF(HR_Data[[#This Row],[MonthlyIncome]]&lt;=7000,"Medium","High"))</f>
        <v>Low</v>
      </c>
      <c r="AL119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96" spans="1:38" hidden="1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tr">
        <f>IF(HR_Data[[#This Row],[Age]]&lt;30,"Under 30",IF(HR_Data[[#This Row],[Age]]&lt;=40,"30-40",IF(HR_Data[[#This Row],[Age]]&lt;=50,"41-50","50+")))</f>
        <v>41-50</v>
      </c>
      <c r="AK1196" t="str">
        <f>IF(HR_Data[[#This Row],[MonthlyIncome]]&lt;4000,"Low",IF(HR_Data[[#This Row],[MonthlyIncome]]&lt;=7000,"Medium","High"))</f>
        <v>High</v>
      </c>
      <c r="AL119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97" spans="1:38" hidden="1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tr">
        <f>IF(HR_Data[[#This Row],[Age]]&lt;30,"Under 30",IF(HR_Data[[#This Row],[Age]]&lt;=40,"30-40",IF(HR_Data[[#This Row],[Age]]&lt;=50,"41-50","50+")))</f>
        <v>41-50</v>
      </c>
      <c r="AK1197" t="str">
        <f>IF(HR_Data[[#This Row],[MonthlyIncome]]&lt;4000,"Low",IF(HR_Data[[#This Row],[MonthlyIncome]]&lt;=7000,"Medium","High"))</f>
        <v>High</v>
      </c>
      <c r="AL119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198" spans="1:38" hidden="1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tr">
        <f>IF(HR_Data[[#This Row],[Age]]&lt;30,"Under 30",IF(HR_Data[[#This Row],[Age]]&lt;=40,"30-40",IF(HR_Data[[#This Row],[Age]]&lt;=50,"41-50","50+")))</f>
        <v>41-50</v>
      </c>
      <c r="AK1198" t="str">
        <f>IF(HR_Data[[#This Row],[MonthlyIncome]]&lt;4000,"Low",IF(HR_Data[[#This Row],[MonthlyIncome]]&lt;=7000,"Medium","High"))</f>
        <v>High</v>
      </c>
      <c r="AL119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199" spans="1:38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tr">
        <f>IF(HR_Data[[#This Row],[Age]]&lt;30,"Under 30",IF(HR_Data[[#This Row],[Age]]&lt;=40,"30-40",IF(HR_Data[[#This Row],[Age]]&lt;=50,"41-50","50+")))</f>
        <v>Under 30</v>
      </c>
      <c r="AK1199" t="str">
        <f>IF(HR_Data[[#This Row],[MonthlyIncome]]&lt;4000,"Low",IF(HR_Data[[#This Row],[MonthlyIncome]]&lt;=7000,"Medium","High"))</f>
        <v>Low</v>
      </c>
      <c r="AL119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00" spans="1:38" hidden="1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tr">
        <f>IF(HR_Data[[#This Row],[Age]]&lt;30,"Under 30",IF(HR_Data[[#This Row],[Age]]&lt;=40,"30-40",IF(HR_Data[[#This Row],[Age]]&lt;=50,"41-50","50+")))</f>
        <v>30-40</v>
      </c>
      <c r="AK1200" t="str">
        <f>IF(HR_Data[[#This Row],[MonthlyIncome]]&lt;4000,"Low",IF(HR_Data[[#This Row],[MonthlyIncome]]&lt;=7000,"Medium","High"))</f>
        <v>Medium</v>
      </c>
      <c r="AL120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201" spans="1:38" hidden="1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tr">
        <f>IF(HR_Data[[#This Row],[Age]]&lt;30,"Under 30",IF(HR_Data[[#This Row],[Age]]&lt;=40,"30-40",IF(HR_Data[[#This Row],[Age]]&lt;=50,"41-50","50+")))</f>
        <v>30-40</v>
      </c>
      <c r="AK1201" t="str">
        <f>IF(HR_Data[[#This Row],[MonthlyIncome]]&lt;4000,"Low",IF(HR_Data[[#This Row],[MonthlyIncome]]&lt;=7000,"Medium","High"))</f>
        <v>Medium</v>
      </c>
      <c r="AL120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02" spans="1:38" hidden="1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tr">
        <f>IF(HR_Data[[#This Row],[Age]]&lt;30,"Under 30",IF(HR_Data[[#This Row],[Age]]&lt;=40,"30-40",IF(HR_Data[[#This Row],[Age]]&lt;=50,"41-50","50+")))</f>
        <v>41-50</v>
      </c>
      <c r="AK1202" t="str">
        <f>IF(HR_Data[[#This Row],[MonthlyIncome]]&lt;4000,"Low",IF(HR_Data[[#This Row],[MonthlyIncome]]&lt;=7000,"Medium","High"))</f>
        <v>Low</v>
      </c>
      <c r="AL120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03" spans="1:38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tr">
        <f>IF(HR_Data[[#This Row],[Age]]&lt;30,"Under 30",IF(HR_Data[[#This Row],[Age]]&lt;=40,"30-40",IF(HR_Data[[#This Row],[Age]]&lt;=50,"41-50","50+")))</f>
        <v>Under 30</v>
      </c>
      <c r="AK1203" t="str">
        <f>IF(HR_Data[[#This Row],[MonthlyIncome]]&lt;4000,"Low",IF(HR_Data[[#This Row],[MonthlyIncome]]&lt;=7000,"Medium","High"))</f>
        <v>Low</v>
      </c>
      <c r="AL120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04" spans="1:38" hidden="1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tr">
        <f>IF(HR_Data[[#This Row],[Age]]&lt;30,"Under 30",IF(HR_Data[[#This Row],[Age]]&lt;=40,"30-40",IF(HR_Data[[#This Row],[Age]]&lt;=50,"41-50","50+")))</f>
        <v>30-40</v>
      </c>
      <c r="AK1204" t="str">
        <f>IF(HR_Data[[#This Row],[MonthlyIncome]]&lt;4000,"Low",IF(HR_Data[[#This Row],[MonthlyIncome]]&lt;=7000,"Medium","High"))</f>
        <v>Low</v>
      </c>
      <c r="AL1204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205" spans="1:38" hidden="1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tr">
        <f>IF(HR_Data[[#This Row],[Age]]&lt;30,"Under 30",IF(HR_Data[[#This Row],[Age]]&lt;=40,"30-40",IF(HR_Data[[#This Row],[Age]]&lt;=50,"41-50","50+")))</f>
        <v>50+</v>
      </c>
      <c r="AK1205" t="str">
        <f>IF(HR_Data[[#This Row],[MonthlyIncome]]&lt;4000,"Low",IF(HR_Data[[#This Row],[MonthlyIncome]]&lt;=7000,"Medium","High"))</f>
        <v>High</v>
      </c>
      <c r="AL120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06" spans="1:38" hidden="1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tr">
        <f>IF(HR_Data[[#This Row],[Age]]&lt;30,"Under 30",IF(HR_Data[[#This Row],[Age]]&lt;=40,"30-40",IF(HR_Data[[#This Row],[Age]]&lt;=50,"41-50","50+")))</f>
        <v>41-50</v>
      </c>
      <c r="AK1206" t="str">
        <f>IF(HR_Data[[#This Row],[MonthlyIncome]]&lt;4000,"Low",IF(HR_Data[[#This Row],[MonthlyIncome]]&lt;=7000,"Medium","High"))</f>
        <v>Low</v>
      </c>
      <c r="AL120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207" spans="1:38" hidden="1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tr">
        <f>IF(HR_Data[[#This Row],[Age]]&lt;30,"Under 30",IF(HR_Data[[#This Row],[Age]]&lt;=40,"30-40",IF(HR_Data[[#This Row],[Age]]&lt;=50,"41-50","50+")))</f>
        <v>30-40</v>
      </c>
      <c r="AK1207" t="str">
        <f>IF(HR_Data[[#This Row],[MonthlyIncome]]&lt;4000,"Low",IF(HR_Data[[#This Row],[MonthlyIncome]]&lt;=7000,"Medium","High"))</f>
        <v>Low</v>
      </c>
      <c r="AL1207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208" spans="1:38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tr">
        <f>IF(HR_Data[[#This Row],[Age]]&lt;30,"Under 30",IF(HR_Data[[#This Row],[Age]]&lt;=40,"30-40",IF(HR_Data[[#This Row],[Age]]&lt;=50,"41-50","50+")))</f>
        <v>Under 30</v>
      </c>
      <c r="AK1208" t="str">
        <f>IF(HR_Data[[#This Row],[MonthlyIncome]]&lt;4000,"Low",IF(HR_Data[[#This Row],[MonthlyIncome]]&lt;=7000,"Medium","High"))</f>
        <v>Low</v>
      </c>
      <c r="AL120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209" spans="1:38" hidden="1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tr">
        <f>IF(HR_Data[[#This Row],[Age]]&lt;30,"Under 30",IF(HR_Data[[#This Row],[Age]]&lt;=40,"30-40",IF(HR_Data[[#This Row],[Age]]&lt;=50,"41-50","50+")))</f>
        <v>50+</v>
      </c>
      <c r="AK1209" t="str">
        <f>IF(HR_Data[[#This Row],[MonthlyIncome]]&lt;4000,"Low",IF(HR_Data[[#This Row],[MonthlyIncome]]&lt;=7000,"Medium","High"))</f>
        <v>Low</v>
      </c>
      <c r="AL120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10" spans="1:38" hidden="1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tr">
        <f>IF(HR_Data[[#This Row],[Age]]&lt;30,"Under 30",IF(HR_Data[[#This Row],[Age]]&lt;=40,"30-40",IF(HR_Data[[#This Row],[Age]]&lt;=50,"41-50","50+")))</f>
        <v>30-40</v>
      </c>
      <c r="AK1210" t="str">
        <f>IF(HR_Data[[#This Row],[MonthlyIncome]]&lt;4000,"Low",IF(HR_Data[[#This Row],[MonthlyIncome]]&lt;=7000,"Medium","High"))</f>
        <v>Low</v>
      </c>
      <c r="AL1210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211" spans="1:38" hidden="1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tr">
        <f>IF(HR_Data[[#This Row],[Age]]&lt;30,"Under 30",IF(HR_Data[[#This Row],[Age]]&lt;=40,"30-40",IF(HR_Data[[#This Row],[Age]]&lt;=50,"41-50","50+")))</f>
        <v>50+</v>
      </c>
      <c r="AK1211" t="str">
        <f>IF(HR_Data[[#This Row],[MonthlyIncome]]&lt;4000,"Low",IF(HR_Data[[#This Row],[MonthlyIncome]]&lt;=7000,"Medium","High"))</f>
        <v>High</v>
      </c>
      <c r="AL1211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212" spans="1:38" hidden="1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tr">
        <f>IF(HR_Data[[#This Row],[Age]]&lt;30,"Under 30",IF(HR_Data[[#This Row],[Age]]&lt;=40,"30-40",IF(HR_Data[[#This Row],[Age]]&lt;=50,"41-50","50+")))</f>
        <v>30-40</v>
      </c>
      <c r="AK1212" t="str">
        <f>IF(HR_Data[[#This Row],[MonthlyIncome]]&lt;4000,"Low",IF(HR_Data[[#This Row],[MonthlyIncome]]&lt;=7000,"Medium","High"))</f>
        <v>Low</v>
      </c>
      <c r="AL1212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213" spans="1:38" hidden="1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tr">
        <f>IF(HR_Data[[#This Row],[Age]]&lt;30,"Under 30",IF(HR_Data[[#This Row],[Age]]&lt;=40,"30-40",IF(HR_Data[[#This Row],[Age]]&lt;=50,"41-50","50+")))</f>
        <v>30-40</v>
      </c>
      <c r="AK1213" t="str">
        <f>IF(HR_Data[[#This Row],[MonthlyIncome]]&lt;4000,"Low",IF(HR_Data[[#This Row],[MonthlyIncome]]&lt;=7000,"Medium","High"))</f>
        <v>High</v>
      </c>
      <c r="AL121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214" spans="1:38" hidden="1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tr">
        <f>IF(HR_Data[[#This Row],[Age]]&lt;30,"Under 30",IF(HR_Data[[#This Row],[Age]]&lt;=40,"30-40",IF(HR_Data[[#This Row],[Age]]&lt;=50,"41-50","50+")))</f>
        <v>30-40</v>
      </c>
      <c r="AK1214" t="str">
        <f>IF(HR_Data[[#This Row],[MonthlyIncome]]&lt;4000,"Low",IF(HR_Data[[#This Row],[MonthlyIncome]]&lt;=7000,"Medium","High"))</f>
        <v>Low</v>
      </c>
      <c r="AL121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215" spans="1:38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tr">
        <f>IF(HR_Data[[#This Row],[Age]]&lt;30,"Under 30",IF(HR_Data[[#This Row],[Age]]&lt;=40,"30-40",IF(HR_Data[[#This Row],[Age]]&lt;=50,"41-50","50+")))</f>
        <v>Under 30</v>
      </c>
      <c r="AK1215" t="str">
        <f>IF(HR_Data[[#This Row],[MonthlyIncome]]&lt;4000,"Low",IF(HR_Data[[#This Row],[MonthlyIncome]]&lt;=7000,"Medium","High"))</f>
        <v>Low</v>
      </c>
      <c r="AL121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16" spans="1:38" hidden="1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tr">
        <f>IF(HR_Data[[#This Row],[Age]]&lt;30,"Under 30",IF(HR_Data[[#This Row],[Age]]&lt;=40,"30-40",IF(HR_Data[[#This Row],[Age]]&lt;=50,"41-50","50+")))</f>
        <v>41-50</v>
      </c>
      <c r="AK1216" t="str">
        <f>IF(HR_Data[[#This Row],[MonthlyIncome]]&lt;4000,"Low",IF(HR_Data[[#This Row],[MonthlyIncome]]&lt;=7000,"Medium","High"))</f>
        <v>High</v>
      </c>
      <c r="AL121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217" spans="1:38" hidden="1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tr">
        <f>IF(HR_Data[[#This Row],[Age]]&lt;30,"Under 30",IF(HR_Data[[#This Row],[Age]]&lt;=40,"30-40",IF(HR_Data[[#This Row],[Age]]&lt;=50,"41-50","50+")))</f>
        <v>30-40</v>
      </c>
      <c r="AK1217" t="str">
        <f>IF(HR_Data[[#This Row],[MonthlyIncome]]&lt;4000,"Low",IF(HR_Data[[#This Row],[MonthlyIncome]]&lt;=7000,"Medium","High"))</f>
        <v>Medium</v>
      </c>
      <c r="AL121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18" spans="1:38" hidden="1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tr">
        <f>IF(HR_Data[[#This Row],[Age]]&lt;30,"Under 30",IF(HR_Data[[#This Row],[Age]]&lt;=40,"30-40",IF(HR_Data[[#This Row],[Age]]&lt;=50,"41-50","50+")))</f>
        <v>41-50</v>
      </c>
      <c r="AK1218" t="str">
        <f>IF(HR_Data[[#This Row],[MonthlyIncome]]&lt;4000,"Low",IF(HR_Data[[#This Row],[MonthlyIncome]]&lt;=7000,"Medium","High"))</f>
        <v>High</v>
      </c>
      <c r="AL121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219" spans="1:38" hidden="1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tr">
        <f>IF(HR_Data[[#This Row],[Age]]&lt;30,"Under 30",IF(HR_Data[[#This Row],[Age]]&lt;=40,"30-40",IF(HR_Data[[#This Row],[Age]]&lt;=50,"41-50","50+")))</f>
        <v>Under 30</v>
      </c>
      <c r="AK1219" t="str">
        <f>IF(HR_Data[[#This Row],[MonthlyIncome]]&lt;4000,"Low",IF(HR_Data[[#This Row],[MonthlyIncome]]&lt;=7000,"Medium","High"))</f>
        <v>Medium</v>
      </c>
      <c r="AL121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20" spans="1:38" hidden="1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tr">
        <f>IF(HR_Data[[#This Row],[Age]]&lt;30,"Under 30",IF(HR_Data[[#This Row],[Age]]&lt;=40,"30-40",IF(HR_Data[[#This Row],[Age]]&lt;=50,"41-50","50+")))</f>
        <v>41-50</v>
      </c>
      <c r="AK1220" t="str">
        <f>IF(HR_Data[[#This Row],[MonthlyIncome]]&lt;4000,"Low",IF(HR_Data[[#This Row],[MonthlyIncome]]&lt;=7000,"Medium","High"))</f>
        <v>High</v>
      </c>
      <c r="AL122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221" spans="1:38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tr">
        <f>IF(HR_Data[[#This Row],[Age]]&lt;30,"Under 30",IF(HR_Data[[#This Row],[Age]]&lt;=40,"30-40",IF(HR_Data[[#This Row],[Age]]&lt;=50,"41-50","50+")))</f>
        <v>Under 30</v>
      </c>
      <c r="AK1221" t="str">
        <f>IF(HR_Data[[#This Row],[MonthlyIncome]]&lt;4000,"Low",IF(HR_Data[[#This Row],[MonthlyIncome]]&lt;=7000,"Medium","High"))</f>
        <v>Low</v>
      </c>
      <c r="AL122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22" spans="1:38" hidden="1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tr">
        <f>IF(HR_Data[[#This Row],[Age]]&lt;30,"Under 30",IF(HR_Data[[#This Row],[Age]]&lt;=40,"30-40",IF(HR_Data[[#This Row],[Age]]&lt;=50,"41-50","50+")))</f>
        <v>30-40</v>
      </c>
      <c r="AK1222" t="str">
        <f>IF(HR_Data[[#This Row],[MonthlyIncome]]&lt;4000,"Low",IF(HR_Data[[#This Row],[MonthlyIncome]]&lt;=7000,"Medium","High"))</f>
        <v>Medium</v>
      </c>
      <c r="AL1222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223" spans="1:38" hidden="1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tr">
        <f>IF(HR_Data[[#This Row],[Age]]&lt;30,"Under 30",IF(HR_Data[[#This Row],[Age]]&lt;=40,"30-40",IF(HR_Data[[#This Row],[Age]]&lt;=50,"41-50","50+")))</f>
        <v>41-50</v>
      </c>
      <c r="AK1223" t="str">
        <f>IF(HR_Data[[#This Row],[MonthlyIncome]]&lt;4000,"Low",IF(HR_Data[[#This Row],[MonthlyIncome]]&lt;=7000,"Medium","High"))</f>
        <v>High</v>
      </c>
      <c r="AL1223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224" spans="1:38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tr">
        <f>IF(HR_Data[[#This Row],[Age]]&lt;30,"Under 30",IF(HR_Data[[#This Row],[Age]]&lt;=40,"30-40",IF(HR_Data[[#This Row],[Age]]&lt;=50,"41-50","50+")))</f>
        <v>Under 30</v>
      </c>
      <c r="AK1224" t="str">
        <f>IF(HR_Data[[#This Row],[MonthlyIncome]]&lt;4000,"Low",IF(HR_Data[[#This Row],[MonthlyIncome]]&lt;=7000,"Medium","High"))</f>
        <v>Low</v>
      </c>
      <c r="AL1224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225" spans="1:38" hidden="1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tr">
        <f>IF(HR_Data[[#This Row],[Age]]&lt;30,"Under 30",IF(HR_Data[[#This Row],[Age]]&lt;=40,"30-40",IF(HR_Data[[#This Row],[Age]]&lt;=50,"41-50","50+")))</f>
        <v>41-50</v>
      </c>
      <c r="AK1225" t="str">
        <f>IF(HR_Data[[#This Row],[MonthlyIncome]]&lt;4000,"Low",IF(HR_Data[[#This Row],[MonthlyIncome]]&lt;=7000,"Medium","High"))</f>
        <v>High</v>
      </c>
      <c r="AL1225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226" spans="1:38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tr">
        <f>IF(HR_Data[[#This Row],[Age]]&lt;30,"Under 30",IF(HR_Data[[#This Row],[Age]]&lt;=40,"30-40",IF(HR_Data[[#This Row],[Age]]&lt;=50,"41-50","50+")))</f>
        <v>Under 30</v>
      </c>
      <c r="AK1226" t="str">
        <f>IF(HR_Data[[#This Row],[MonthlyIncome]]&lt;4000,"Low",IF(HR_Data[[#This Row],[MonthlyIncome]]&lt;=7000,"Medium","High"))</f>
        <v>Low</v>
      </c>
      <c r="AL122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27" spans="1:38" hidden="1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tr">
        <f>IF(HR_Data[[#This Row],[Age]]&lt;30,"Under 30",IF(HR_Data[[#This Row],[Age]]&lt;=40,"30-40",IF(HR_Data[[#This Row],[Age]]&lt;=50,"41-50","50+")))</f>
        <v>41-50</v>
      </c>
      <c r="AK1227" t="str">
        <f>IF(HR_Data[[#This Row],[MonthlyIncome]]&lt;4000,"Low",IF(HR_Data[[#This Row],[MonthlyIncome]]&lt;=7000,"Medium","High"))</f>
        <v>High</v>
      </c>
      <c r="AL1227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228" spans="1:38" hidden="1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tr">
        <f>IF(HR_Data[[#This Row],[Age]]&lt;30,"Under 30",IF(HR_Data[[#This Row],[Age]]&lt;=40,"30-40",IF(HR_Data[[#This Row],[Age]]&lt;=50,"41-50","50+")))</f>
        <v>30-40</v>
      </c>
      <c r="AK1228" t="str">
        <f>IF(HR_Data[[#This Row],[MonthlyIncome]]&lt;4000,"Low",IF(HR_Data[[#This Row],[MonthlyIncome]]&lt;=7000,"Medium","High"))</f>
        <v>Low</v>
      </c>
      <c r="AL122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29" spans="1:38" hidden="1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tr">
        <f>IF(HR_Data[[#This Row],[Age]]&lt;30,"Under 30",IF(HR_Data[[#This Row],[Age]]&lt;=40,"30-40",IF(HR_Data[[#This Row],[Age]]&lt;=50,"41-50","50+")))</f>
        <v>30-40</v>
      </c>
      <c r="AK1229" t="str">
        <f>IF(HR_Data[[#This Row],[MonthlyIncome]]&lt;4000,"Low",IF(HR_Data[[#This Row],[MonthlyIncome]]&lt;=7000,"Medium","High"))</f>
        <v>Low</v>
      </c>
      <c r="AL122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30" spans="1:38" hidden="1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tr">
        <f>IF(HR_Data[[#This Row],[Age]]&lt;30,"Under 30",IF(HR_Data[[#This Row],[Age]]&lt;=40,"30-40",IF(HR_Data[[#This Row],[Age]]&lt;=50,"41-50","50+")))</f>
        <v>41-50</v>
      </c>
      <c r="AK1230" t="str">
        <f>IF(HR_Data[[#This Row],[MonthlyIncome]]&lt;4000,"Low",IF(HR_Data[[#This Row],[MonthlyIncome]]&lt;=7000,"Medium","High"))</f>
        <v>Medium</v>
      </c>
      <c r="AL123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31" spans="1:38" hidden="1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tr">
        <f>IF(HR_Data[[#This Row],[Age]]&lt;30,"Under 30",IF(HR_Data[[#This Row],[Age]]&lt;=40,"30-40",IF(HR_Data[[#This Row],[Age]]&lt;=50,"41-50","50+")))</f>
        <v>30-40</v>
      </c>
      <c r="AK1231" t="str">
        <f>IF(HR_Data[[#This Row],[MonthlyIncome]]&lt;4000,"Low",IF(HR_Data[[#This Row],[MonthlyIncome]]&lt;=7000,"Medium","High"))</f>
        <v>Medium</v>
      </c>
      <c r="AL1231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232" spans="1:38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tr">
        <f>IF(HR_Data[[#This Row],[Age]]&lt;30,"Under 30",IF(HR_Data[[#This Row],[Age]]&lt;=40,"30-40",IF(HR_Data[[#This Row],[Age]]&lt;=50,"41-50","50+")))</f>
        <v>Under 30</v>
      </c>
      <c r="AK1232" t="str">
        <f>IF(HR_Data[[#This Row],[MonthlyIncome]]&lt;4000,"Low",IF(HR_Data[[#This Row],[MonthlyIncome]]&lt;=7000,"Medium","High"))</f>
        <v>Low</v>
      </c>
      <c r="AL123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233" spans="1:38" hidden="1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tr">
        <f>IF(HR_Data[[#This Row],[Age]]&lt;30,"Under 30",IF(HR_Data[[#This Row],[Age]]&lt;=40,"30-40",IF(HR_Data[[#This Row],[Age]]&lt;=50,"41-50","50+")))</f>
        <v>41-50</v>
      </c>
      <c r="AK1233" t="str">
        <f>IF(HR_Data[[#This Row],[MonthlyIncome]]&lt;4000,"Low",IF(HR_Data[[#This Row],[MonthlyIncome]]&lt;=7000,"Medium","High"))</f>
        <v>Medium</v>
      </c>
      <c r="AL123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234" spans="1:38" hidden="1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tr">
        <f>IF(HR_Data[[#This Row],[Age]]&lt;30,"Under 30",IF(HR_Data[[#This Row],[Age]]&lt;=40,"30-40",IF(HR_Data[[#This Row],[Age]]&lt;=50,"41-50","50+")))</f>
        <v>30-40</v>
      </c>
      <c r="AK1234" t="str">
        <f>IF(HR_Data[[#This Row],[MonthlyIncome]]&lt;4000,"Low",IF(HR_Data[[#This Row],[MonthlyIncome]]&lt;=7000,"Medium","High"))</f>
        <v>Medium</v>
      </c>
      <c r="AL123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235" spans="1:38" hidden="1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tr">
        <f>IF(HR_Data[[#This Row],[Age]]&lt;30,"Under 30",IF(HR_Data[[#This Row],[Age]]&lt;=40,"30-40",IF(HR_Data[[#This Row],[Age]]&lt;=50,"41-50","50+")))</f>
        <v>30-40</v>
      </c>
      <c r="AK1235" t="str">
        <f>IF(HR_Data[[#This Row],[MonthlyIncome]]&lt;4000,"Low",IF(HR_Data[[#This Row],[MonthlyIncome]]&lt;=7000,"Medium","High"))</f>
        <v>Low</v>
      </c>
      <c r="AL123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236" spans="1:38" hidden="1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tr">
        <f>IF(HR_Data[[#This Row],[Age]]&lt;30,"Under 30",IF(HR_Data[[#This Row],[Age]]&lt;=40,"30-40",IF(HR_Data[[#This Row],[Age]]&lt;=50,"41-50","50+")))</f>
        <v>41-50</v>
      </c>
      <c r="AK1236" t="str">
        <f>IF(HR_Data[[#This Row],[MonthlyIncome]]&lt;4000,"Low",IF(HR_Data[[#This Row],[MonthlyIncome]]&lt;=7000,"Medium","High"))</f>
        <v>Medium</v>
      </c>
      <c r="AL1236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237" spans="1:38" hidden="1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tr">
        <f>IF(HR_Data[[#This Row],[Age]]&lt;30,"Under 30",IF(HR_Data[[#This Row],[Age]]&lt;=40,"30-40",IF(HR_Data[[#This Row],[Age]]&lt;=50,"41-50","50+")))</f>
        <v>41-50</v>
      </c>
      <c r="AK1237" t="str">
        <f>IF(HR_Data[[#This Row],[MonthlyIncome]]&lt;4000,"Low",IF(HR_Data[[#This Row],[MonthlyIncome]]&lt;=7000,"Medium","High"))</f>
        <v>High</v>
      </c>
      <c r="AL123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238" spans="1:38" hidden="1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tr">
        <f>IF(HR_Data[[#This Row],[Age]]&lt;30,"Under 30",IF(HR_Data[[#This Row],[Age]]&lt;=40,"30-40",IF(HR_Data[[#This Row],[Age]]&lt;=50,"41-50","50+")))</f>
        <v>30-40</v>
      </c>
      <c r="AK1238" t="str">
        <f>IF(HR_Data[[#This Row],[MonthlyIncome]]&lt;4000,"Low",IF(HR_Data[[#This Row],[MonthlyIncome]]&lt;=7000,"Medium","High"))</f>
        <v>Medium</v>
      </c>
      <c r="AL123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39" spans="1:38" hidden="1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tr">
        <f>IF(HR_Data[[#This Row],[Age]]&lt;30,"Under 30",IF(HR_Data[[#This Row],[Age]]&lt;=40,"30-40",IF(HR_Data[[#This Row],[Age]]&lt;=50,"41-50","50+")))</f>
        <v>30-40</v>
      </c>
      <c r="AK1239" t="str">
        <f>IF(HR_Data[[#This Row],[MonthlyIncome]]&lt;4000,"Low",IF(HR_Data[[#This Row],[MonthlyIncome]]&lt;=7000,"Medium","High"))</f>
        <v>Medium</v>
      </c>
      <c r="AL1239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240" spans="1:38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tr">
        <f>IF(HR_Data[[#This Row],[Age]]&lt;30,"Under 30",IF(HR_Data[[#This Row],[Age]]&lt;=40,"30-40",IF(HR_Data[[#This Row],[Age]]&lt;=50,"41-50","50+")))</f>
        <v>Under 30</v>
      </c>
      <c r="AK1240" t="str">
        <f>IF(HR_Data[[#This Row],[MonthlyIncome]]&lt;4000,"Low",IF(HR_Data[[#This Row],[MonthlyIncome]]&lt;=7000,"Medium","High"))</f>
        <v>Low</v>
      </c>
      <c r="AL124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41" spans="1:38" hidden="1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tr">
        <f>IF(HR_Data[[#This Row],[Age]]&lt;30,"Under 30",IF(HR_Data[[#This Row],[Age]]&lt;=40,"30-40",IF(HR_Data[[#This Row],[Age]]&lt;=50,"41-50","50+")))</f>
        <v>30-40</v>
      </c>
      <c r="AK1241" t="str">
        <f>IF(HR_Data[[#This Row],[MonthlyIncome]]&lt;4000,"Low",IF(HR_Data[[#This Row],[MonthlyIncome]]&lt;=7000,"Medium","High"))</f>
        <v>Medium</v>
      </c>
      <c r="AL124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42" spans="1:38" hidden="1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tr">
        <f>IF(HR_Data[[#This Row],[Age]]&lt;30,"Under 30",IF(HR_Data[[#This Row],[Age]]&lt;=40,"30-40",IF(HR_Data[[#This Row],[Age]]&lt;=50,"41-50","50+")))</f>
        <v>30-40</v>
      </c>
      <c r="AK1242" t="str">
        <f>IF(HR_Data[[#This Row],[MonthlyIncome]]&lt;4000,"Low",IF(HR_Data[[#This Row],[MonthlyIncome]]&lt;=7000,"Medium","High"))</f>
        <v>Medium</v>
      </c>
      <c r="AL124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243" spans="1:38" hidden="1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tr">
        <f>IF(HR_Data[[#This Row],[Age]]&lt;30,"Under 30",IF(HR_Data[[#This Row],[Age]]&lt;=40,"30-40",IF(HR_Data[[#This Row],[Age]]&lt;=50,"41-50","50+")))</f>
        <v>30-40</v>
      </c>
      <c r="AK1243" t="str">
        <f>IF(HR_Data[[#This Row],[MonthlyIncome]]&lt;4000,"Low",IF(HR_Data[[#This Row],[MonthlyIncome]]&lt;=7000,"Medium","High"))</f>
        <v>High</v>
      </c>
      <c r="AL124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44" spans="1:38" hidden="1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tr">
        <f>IF(HR_Data[[#This Row],[Age]]&lt;30,"Under 30",IF(HR_Data[[#This Row],[Age]]&lt;=40,"30-40",IF(HR_Data[[#This Row],[Age]]&lt;=50,"41-50","50+")))</f>
        <v>30-40</v>
      </c>
      <c r="AK1244" t="str">
        <f>IF(HR_Data[[#This Row],[MonthlyIncome]]&lt;4000,"Low",IF(HR_Data[[#This Row],[MonthlyIncome]]&lt;=7000,"Medium","High"))</f>
        <v>High</v>
      </c>
      <c r="AL1244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245" spans="1:38" hidden="1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tr">
        <f>IF(HR_Data[[#This Row],[Age]]&lt;30,"Under 30",IF(HR_Data[[#This Row],[Age]]&lt;=40,"30-40",IF(HR_Data[[#This Row],[Age]]&lt;=50,"41-50","50+")))</f>
        <v>41-50</v>
      </c>
      <c r="AK1245" t="str">
        <f>IF(HR_Data[[#This Row],[MonthlyIncome]]&lt;4000,"Low",IF(HR_Data[[#This Row],[MonthlyIncome]]&lt;=7000,"Medium","High"))</f>
        <v>High</v>
      </c>
      <c r="AL124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46" spans="1:38" hidden="1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tr">
        <f>IF(HR_Data[[#This Row],[Age]]&lt;30,"Under 30",IF(HR_Data[[#This Row],[Age]]&lt;=40,"30-40",IF(HR_Data[[#This Row],[Age]]&lt;=50,"41-50","50+")))</f>
        <v>30-40</v>
      </c>
      <c r="AK1246" t="str">
        <f>IF(HR_Data[[#This Row],[MonthlyIncome]]&lt;4000,"Low",IF(HR_Data[[#This Row],[MonthlyIncome]]&lt;=7000,"Medium","High"))</f>
        <v>Medium</v>
      </c>
      <c r="AL124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247" spans="1:38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tr">
        <f>IF(HR_Data[[#This Row],[Age]]&lt;30,"Under 30",IF(HR_Data[[#This Row],[Age]]&lt;=40,"30-40",IF(HR_Data[[#This Row],[Age]]&lt;=50,"41-50","50+")))</f>
        <v>Under 30</v>
      </c>
      <c r="AK1247" t="str">
        <f>IF(HR_Data[[#This Row],[MonthlyIncome]]&lt;4000,"Low",IF(HR_Data[[#This Row],[MonthlyIncome]]&lt;=7000,"Medium","High"))</f>
        <v>Low</v>
      </c>
      <c r="AL124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48" spans="1:38" hidden="1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tr">
        <f>IF(HR_Data[[#This Row],[Age]]&lt;30,"Under 30",IF(HR_Data[[#This Row],[Age]]&lt;=40,"30-40",IF(HR_Data[[#This Row],[Age]]&lt;=50,"41-50","50+")))</f>
        <v>30-40</v>
      </c>
      <c r="AK1248" t="str">
        <f>IF(HR_Data[[#This Row],[MonthlyIncome]]&lt;4000,"Low",IF(HR_Data[[#This Row],[MonthlyIncome]]&lt;=7000,"Medium","High"))</f>
        <v>Low</v>
      </c>
      <c r="AL124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49" spans="1:38" hidden="1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tr">
        <f>IF(HR_Data[[#This Row],[Age]]&lt;30,"Under 30",IF(HR_Data[[#This Row],[Age]]&lt;=40,"30-40",IF(HR_Data[[#This Row],[Age]]&lt;=50,"41-50","50+")))</f>
        <v>30-40</v>
      </c>
      <c r="AK1249" t="str">
        <f>IF(HR_Data[[#This Row],[MonthlyIncome]]&lt;4000,"Low",IF(HR_Data[[#This Row],[MonthlyIncome]]&lt;=7000,"Medium","High"))</f>
        <v>High</v>
      </c>
      <c r="AL124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50" spans="1:38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tr">
        <f>IF(HR_Data[[#This Row],[Age]]&lt;30,"Under 30",IF(HR_Data[[#This Row],[Age]]&lt;=40,"30-40",IF(HR_Data[[#This Row],[Age]]&lt;=50,"41-50","50+")))</f>
        <v>Under 30</v>
      </c>
      <c r="AK1250" t="str">
        <f>IF(HR_Data[[#This Row],[MonthlyIncome]]&lt;4000,"Low",IF(HR_Data[[#This Row],[MonthlyIncome]]&lt;=7000,"Medium","High"))</f>
        <v>Low</v>
      </c>
      <c r="AL125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251" spans="1:38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tr">
        <f>IF(HR_Data[[#This Row],[Age]]&lt;30,"Under 30",IF(HR_Data[[#This Row],[Age]]&lt;=40,"30-40",IF(HR_Data[[#This Row],[Age]]&lt;=50,"41-50","50+")))</f>
        <v>Under 30</v>
      </c>
      <c r="AK1251" t="str">
        <f>IF(HR_Data[[#This Row],[MonthlyIncome]]&lt;4000,"Low",IF(HR_Data[[#This Row],[MonthlyIncome]]&lt;=7000,"Medium","High"))</f>
        <v>Low</v>
      </c>
      <c r="AL125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52" spans="1:38" hidden="1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tr">
        <f>IF(HR_Data[[#This Row],[Age]]&lt;30,"Under 30",IF(HR_Data[[#This Row],[Age]]&lt;=40,"30-40",IF(HR_Data[[#This Row],[Age]]&lt;=50,"41-50","50+")))</f>
        <v>Under 30</v>
      </c>
      <c r="AK1252" t="str">
        <f>IF(HR_Data[[#This Row],[MonthlyIncome]]&lt;4000,"Low",IF(HR_Data[[#This Row],[MonthlyIncome]]&lt;=7000,"Medium","High"))</f>
        <v>Medium</v>
      </c>
      <c r="AL125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53" spans="1:38" hidden="1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tr">
        <f>IF(HR_Data[[#This Row],[Age]]&lt;30,"Under 30",IF(HR_Data[[#This Row],[Age]]&lt;=40,"30-40",IF(HR_Data[[#This Row],[Age]]&lt;=50,"41-50","50+")))</f>
        <v>30-40</v>
      </c>
      <c r="AK1253" t="str">
        <f>IF(HR_Data[[#This Row],[MonthlyIncome]]&lt;4000,"Low",IF(HR_Data[[#This Row],[MonthlyIncome]]&lt;=7000,"Medium","High"))</f>
        <v>High</v>
      </c>
      <c r="AL125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254" spans="1:38" hidden="1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tr">
        <f>IF(HR_Data[[#This Row],[Age]]&lt;30,"Under 30",IF(HR_Data[[#This Row],[Age]]&lt;=40,"30-40",IF(HR_Data[[#This Row],[Age]]&lt;=50,"41-50","50+")))</f>
        <v>30-40</v>
      </c>
      <c r="AK1254" t="str">
        <f>IF(HR_Data[[#This Row],[MonthlyIncome]]&lt;4000,"Low",IF(HR_Data[[#This Row],[MonthlyIncome]]&lt;=7000,"Medium","High"))</f>
        <v>Low</v>
      </c>
      <c r="AL125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55" spans="1:38" hidden="1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tr">
        <f>IF(HR_Data[[#This Row],[Age]]&lt;30,"Under 30",IF(HR_Data[[#This Row],[Age]]&lt;=40,"30-40",IF(HR_Data[[#This Row],[Age]]&lt;=50,"41-50","50+")))</f>
        <v>30-40</v>
      </c>
      <c r="AK1255" t="str">
        <f>IF(HR_Data[[#This Row],[MonthlyIncome]]&lt;4000,"Low",IF(HR_Data[[#This Row],[MonthlyIncome]]&lt;=7000,"Medium","High"))</f>
        <v>Medium</v>
      </c>
      <c r="AL1255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256" spans="1:38" hidden="1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tr">
        <f>IF(HR_Data[[#This Row],[Age]]&lt;30,"Under 30",IF(HR_Data[[#This Row],[Age]]&lt;=40,"30-40",IF(HR_Data[[#This Row],[Age]]&lt;=50,"41-50","50+")))</f>
        <v>41-50</v>
      </c>
      <c r="AK1256" t="str">
        <f>IF(HR_Data[[#This Row],[MonthlyIncome]]&lt;4000,"Low",IF(HR_Data[[#This Row],[MonthlyIncome]]&lt;=7000,"Medium","High"))</f>
        <v>Medium</v>
      </c>
      <c r="AL125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57" spans="1:38" hidden="1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tr">
        <f>IF(HR_Data[[#This Row],[Age]]&lt;30,"Under 30",IF(HR_Data[[#This Row],[Age]]&lt;=40,"30-40",IF(HR_Data[[#This Row],[Age]]&lt;=50,"41-50","50+")))</f>
        <v>30-40</v>
      </c>
      <c r="AK1257" t="str">
        <f>IF(HR_Data[[#This Row],[MonthlyIncome]]&lt;4000,"Low",IF(HR_Data[[#This Row],[MonthlyIncome]]&lt;=7000,"Medium","High"))</f>
        <v>High</v>
      </c>
      <c r="AL1257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258" spans="1:38" hidden="1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tr">
        <f>IF(HR_Data[[#This Row],[Age]]&lt;30,"Under 30",IF(HR_Data[[#This Row],[Age]]&lt;=40,"30-40",IF(HR_Data[[#This Row],[Age]]&lt;=50,"41-50","50+")))</f>
        <v>30-40</v>
      </c>
      <c r="AK1258" t="str">
        <f>IF(HR_Data[[#This Row],[MonthlyIncome]]&lt;4000,"Low",IF(HR_Data[[#This Row],[MonthlyIncome]]&lt;=7000,"Medium","High"))</f>
        <v>Low</v>
      </c>
      <c r="AL125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259" spans="1:38" hidden="1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tr">
        <f>IF(HR_Data[[#This Row],[Age]]&lt;30,"Under 30",IF(HR_Data[[#This Row],[Age]]&lt;=40,"30-40",IF(HR_Data[[#This Row],[Age]]&lt;=50,"41-50","50+")))</f>
        <v>30-40</v>
      </c>
      <c r="AK1259" t="str">
        <f>IF(HR_Data[[#This Row],[MonthlyIncome]]&lt;4000,"Low",IF(HR_Data[[#This Row],[MonthlyIncome]]&lt;=7000,"Medium","High"))</f>
        <v>High</v>
      </c>
      <c r="AL1259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260" spans="1:38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tr">
        <f>IF(HR_Data[[#This Row],[Age]]&lt;30,"Under 30",IF(HR_Data[[#This Row],[Age]]&lt;=40,"30-40",IF(HR_Data[[#This Row],[Age]]&lt;=50,"41-50","50+")))</f>
        <v>Under 30</v>
      </c>
      <c r="AK1260" t="str">
        <f>IF(HR_Data[[#This Row],[MonthlyIncome]]&lt;4000,"Low",IF(HR_Data[[#This Row],[MonthlyIncome]]&lt;=7000,"Medium","High"))</f>
        <v>Low</v>
      </c>
      <c r="AL1260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261" spans="1:38" hidden="1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tr">
        <f>IF(HR_Data[[#This Row],[Age]]&lt;30,"Under 30",IF(HR_Data[[#This Row],[Age]]&lt;=40,"30-40",IF(HR_Data[[#This Row],[Age]]&lt;=50,"41-50","50+")))</f>
        <v>30-40</v>
      </c>
      <c r="AK1261" t="str">
        <f>IF(HR_Data[[#This Row],[MonthlyIncome]]&lt;4000,"Low",IF(HR_Data[[#This Row],[MonthlyIncome]]&lt;=7000,"Medium","High"))</f>
        <v>Medium</v>
      </c>
      <c r="AL126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262" spans="1:38" hidden="1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tr">
        <f>IF(HR_Data[[#This Row],[Age]]&lt;30,"Under 30",IF(HR_Data[[#This Row],[Age]]&lt;=40,"30-40",IF(HR_Data[[#This Row],[Age]]&lt;=50,"41-50","50+")))</f>
        <v>30-40</v>
      </c>
      <c r="AK1262" t="str">
        <f>IF(HR_Data[[#This Row],[MonthlyIncome]]&lt;4000,"Low",IF(HR_Data[[#This Row],[MonthlyIncome]]&lt;=7000,"Medium","High"))</f>
        <v>Low</v>
      </c>
      <c r="AL126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263" spans="1:38" hidden="1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tr">
        <f>IF(HR_Data[[#This Row],[Age]]&lt;30,"Under 30",IF(HR_Data[[#This Row],[Age]]&lt;=40,"30-40",IF(HR_Data[[#This Row],[Age]]&lt;=50,"41-50","50+")))</f>
        <v>30-40</v>
      </c>
      <c r="AK1263" t="str">
        <f>IF(HR_Data[[#This Row],[MonthlyIncome]]&lt;4000,"Low",IF(HR_Data[[#This Row],[MonthlyIncome]]&lt;=7000,"Medium","High"))</f>
        <v>Medium</v>
      </c>
      <c r="AL1263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264" spans="1:38" hidden="1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tr">
        <f>IF(HR_Data[[#This Row],[Age]]&lt;30,"Under 30",IF(HR_Data[[#This Row],[Age]]&lt;=40,"30-40",IF(HR_Data[[#This Row],[Age]]&lt;=50,"41-50","50+")))</f>
        <v>41-50</v>
      </c>
      <c r="AK1264" t="str">
        <f>IF(HR_Data[[#This Row],[MonthlyIncome]]&lt;4000,"Low",IF(HR_Data[[#This Row],[MonthlyIncome]]&lt;=7000,"Medium","High"))</f>
        <v>Low</v>
      </c>
      <c r="AL1264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265" spans="1:38" hidden="1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tr">
        <f>IF(HR_Data[[#This Row],[Age]]&lt;30,"Under 30",IF(HR_Data[[#This Row],[Age]]&lt;=40,"30-40",IF(HR_Data[[#This Row],[Age]]&lt;=50,"41-50","50+")))</f>
        <v>41-50</v>
      </c>
      <c r="AK1265" t="str">
        <f>IF(HR_Data[[#This Row],[MonthlyIncome]]&lt;4000,"Low",IF(HR_Data[[#This Row],[MonthlyIncome]]&lt;=7000,"Medium","High"))</f>
        <v>Low</v>
      </c>
      <c r="AL126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66" spans="1:38" hidden="1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tr">
        <f>IF(HR_Data[[#This Row],[Age]]&lt;30,"Under 30",IF(HR_Data[[#This Row],[Age]]&lt;=40,"30-40",IF(HR_Data[[#This Row],[Age]]&lt;=50,"41-50","50+")))</f>
        <v>50+</v>
      </c>
      <c r="AK1266" t="str">
        <f>IF(HR_Data[[#This Row],[MonthlyIncome]]&lt;4000,"Low",IF(HR_Data[[#This Row],[MonthlyIncome]]&lt;=7000,"Medium","High"))</f>
        <v>High</v>
      </c>
      <c r="AL1266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267" spans="1:38" hidden="1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tr">
        <f>IF(HR_Data[[#This Row],[Age]]&lt;30,"Under 30",IF(HR_Data[[#This Row],[Age]]&lt;=40,"30-40",IF(HR_Data[[#This Row],[Age]]&lt;=50,"41-50","50+")))</f>
        <v>30-40</v>
      </c>
      <c r="AK1267" t="str">
        <f>IF(HR_Data[[#This Row],[MonthlyIncome]]&lt;4000,"Low",IF(HR_Data[[#This Row],[MonthlyIncome]]&lt;=7000,"Medium","High"))</f>
        <v>Low</v>
      </c>
      <c r="AL126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268" spans="1:38" hidden="1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tr">
        <f>IF(HR_Data[[#This Row],[Age]]&lt;30,"Under 30",IF(HR_Data[[#This Row],[Age]]&lt;=40,"30-40",IF(HR_Data[[#This Row],[Age]]&lt;=50,"41-50","50+")))</f>
        <v>41-50</v>
      </c>
      <c r="AK1268" t="str">
        <f>IF(HR_Data[[#This Row],[MonthlyIncome]]&lt;4000,"Low",IF(HR_Data[[#This Row],[MonthlyIncome]]&lt;=7000,"Medium","High"))</f>
        <v>Low</v>
      </c>
      <c r="AL126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69" spans="1:38" hidden="1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tr">
        <f>IF(HR_Data[[#This Row],[Age]]&lt;30,"Under 30",IF(HR_Data[[#This Row],[Age]]&lt;=40,"30-40",IF(HR_Data[[#This Row],[Age]]&lt;=50,"41-50","50+")))</f>
        <v>30-40</v>
      </c>
      <c r="AK1269" t="str">
        <f>IF(HR_Data[[#This Row],[MonthlyIncome]]&lt;4000,"Low",IF(HR_Data[[#This Row],[MonthlyIncome]]&lt;=7000,"Medium","High"))</f>
        <v>Medium</v>
      </c>
      <c r="AL1269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270" spans="1:38" hidden="1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tr">
        <f>IF(HR_Data[[#This Row],[Age]]&lt;30,"Under 30",IF(HR_Data[[#This Row],[Age]]&lt;=40,"30-40",IF(HR_Data[[#This Row],[Age]]&lt;=50,"41-50","50+")))</f>
        <v>50+</v>
      </c>
      <c r="AK1270" t="str">
        <f>IF(HR_Data[[#This Row],[MonthlyIncome]]&lt;4000,"Low",IF(HR_Data[[#This Row],[MonthlyIncome]]&lt;=7000,"Medium","High"))</f>
        <v>High</v>
      </c>
      <c r="AL127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71" spans="1:38" hidden="1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tr">
        <f>IF(HR_Data[[#This Row],[Age]]&lt;30,"Under 30",IF(HR_Data[[#This Row],[Age]]&lt;=40,"30-40",IF(HR_Data[[#This Row],[Age]]&lt;=50,"41-50","50+")))</f>
        <v>41-50</v>
      </c>
      <c r="AK1271" t="str">
        <f>IF(HR_Data[[#This Row],[MonthlyIncome]]&lt;4000,"Low",IF(HR_Data[[#This Row],[MonthlyIncome]]&lt;=7000,"Medium","High"))</f>
        <v>Low</v>
      </c>
      <c r="AL127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272" spans="1:38" hidden="1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tr">
        <f>IF(HR_Data[[#This Row],[Age]]&lt;30,"Under 30",IF(HR_Data[[#This Row],[Age]]&lt;=40,"30-40",IF(HR_Data[[#This Row],[Age]]&lt;=50,"41-50","50+")))</f>
        <v>30-40</v>
      </c>
      <c r="AK1272" t="str">
        <f>IF(HR_Data[[#This Row],[MonthlyIncome]]&lt;4000,"Low",IF(HR_Data[[#This Row],[MonthlyIncome]]&lt;=7000,"Medium","High"))</f>
        <v>Medium</v>
      </c>
      <c r="AL127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73" spans="1:38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tr">
        <f>IF(HR_Data[[#This Row],[Age]]&lt;30,"Under 30",IF(HR_Data[[#This Row],[Age]]&lt;=40,"30-40",IF(HR_Data[[#This Row],[Age]]&lt;=50,"41-50","50+")))</f>
        <v>Under 30</v>
      </c>
      <c r="AK1273" t="str">
        <f>IF(HR_Data[[#This Row],[MonthlyIncome]]&lt;4000,"Low",IF(HR_Data[[#This Row],[MonthlyIncome]]&lt;=7000,"Medium","High"))</f>
        <v>Low</v>
      </c>
      <c r="AL1273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274" spans="1:38" hidden="1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tr">
        <f>IF(HR_Data[[#This Row],[Age]]&lt;30,"Under 30",IF(HR_Data[[#This Row],[Age]]&lt;=40,"30-40",IF(HR_Data[[#This Row],[Age]]&lt;=50,"41-50","50+")))</f>
        <v>30-40</v>
      </c>
      <c r="AK1274" t="str">
        <f>IF(HR_Data[[#This Row],[MonthlyIncome]]&lt;4000,"Low",IF(HR_Data[[#This Row],[MonthlyIncome]]&lt;=7000,"Medium","High"))</f>
        <v>Low</v>
      </c>
      <c r="AL127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75" spans="1:38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tr">
        <f>IF(HR_Data[[#This Row],[Age]]&lt;30,"Under 30",IF(HR_Data[[#This Row],[Age]]&lt;=40,"30-40",IF(HR_Data[[#This Row],[Age]]&lt;=50,"41-50","50+")))</f>
        <v>Under 30</v>
      </c>
      <c r="AK1275" t="str">
        <f>IF(HR_Data[[#This Row],[MonthlyIncome]]&lt;4000,"Low",IF(HR_Data[[#This Row],[MonthlyIncome]]&lt;=7000,"Medium","High"))</f>
        <v>Low</v>
      </c>
      <c r="AL1275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276" spans="1:38" hidden="1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tr">
        <f>IF(HR_Data[[#This Row],[Age]]&lt;30,"Under 30",IF(HR_Data[[#This Row],[Age]]&lt;=40,"30-40",IF(HR_Data[[#This Row],[Age]]&lt;=50,"41-50","50+")))</f>
        <v>30-40</v>
      </c>
      <c r="AK1276" t="str">
        <f>IF(HR_Data[[#This Row],[MonthlyIncome]]&lt;4000,"Low",IF(HR_Data[[#This Row],[MonthlyIncome]]&lt;=7000,"Medium","High"))</f>
        <v>Medium</v>
      </c>
      <c r="AL1276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277" spans="1:38" hidden="1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tr">
        <f>IF(HR_Data[[#This Row],[Age]]&lt;30,"Under 30",IF(HR_Data[[#This Row],[Age]]&lt;=40,"30-40",IF(HR_Data[[#This Row],[Age]]&lt;=50,"41-50","50+")))</f>
        <v>50+</v>
      </c>
      <c r="AK1277" t="str">
        <f>IF(HR_Data[[#This Row],[MonthlyIncome]]&lt;4000,"Low",IF(HR_Data[[#This Row],[MonthlyIncome]]&lt;=7000,"Medium","High"))</f>
        <v>High</v>
      </c>
      <c r="AL127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78" spans="1:38" hidden="1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tr">
        <f>IF(HR_Data[[#This Row],[Age]]&lt;30,"Under 30",IF(HR_Data[[#This Row],[Age]]&lt;=40,"30-40",IF(HR_Data[[#This Row],[Age]]&lt;=50,"41-50","50+")))</f>
        <v>30-40</v>
      </c>
      <c r="AK1278" t="str">
        <f>IF(HR_Data[[#This Row],[MonthlyIncome]]&lt;4000,"Low",IF(HR_Data[[#This Row],[MonthlyIncome]]&lt;=7000,"Medium","High"))</f>
        <v>Medium</v>
      </c>
      <c r="AL127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79" spans="1:38" hidden="1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tr">
        <f>IF(HR_Data[[#This Row],[Age]]&lt;30,"Under 30",IF(HR_Data[[#This Row],[Age]]&lt;=40,"30-40",IF(HR_Data[[#This Row],[Age]]&lt;=50,"41-50","50+")))</f>
        <v>41-50</v>
      </c>
      <c r="AK1279" t="str">
        <f>IF(HR_Data[[#This Row],[MonthlyIncome]]&lt;4000,"Low",IF(HR_Data[[#This Row],[MonthlyIncome]]&lt;=7000,"Medium","High"))</f>
        <v>High</v>
      </c>
      <c r="AL127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80" spans="1:38" hidden="1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tr">
        <f>IF(HR_Data[[#This Row],[Age]]&lt;30,"Under 30",IF(HR_Data[[#This Row],[Age]]&lt;=40,"30-40",IF(HR_Data[[#This Row],[Age]]&lt;=50,"41-50","50+")))</f>
        <v>30-40</v>
      </c>
      <c r="AK1280" t="str">
        <f>IF(HR_Data[[#This Row],[MonthlyIncome]]&lt;4000,"Low",IF(HR_Data[[#This Row],[MonthlyIncome]]&lt;=7000,"Medium","High"))</f>
        <v>High</v>
      </c>
      <c r="AL1280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281" spans="1:38" hidden="1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tr">
        <f>IF(HR_Data[[#This Row],[Age]]&lt;30,"Under 30",IF(HR_Data[[#This Row],[Age]]&lt;=40,"30-40",IF(HR_Data[[#This Row],[Age]]&lt;=50,"41-50","50+")))</f>
        <v>41-50</v>
      </c>
      <c r="AK1281" t="str">
        <f>IF(HR_Data[[#This Row],[MonthlyIncome]]&lt;4000,"Low",IF(HR_Data[[#This Row],[MonthlyIncome]]&lt;=7000,"Medium","High"))</f>
        <v>Low</v>
      </c>
      <c r="AL128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82" spans="1:38" hidden="1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tr">
        <f>IF(HR_Data[[#This Row],[Age]]&lt;30,"Under 30",IF(HR_Data[[#This Row],[Age]]&lt;=40,"30-40",IF(HR_Data[[#This Row],[Age]]&lt;=50,"41-50","50+")))</f>
        <v>30-40</v>
      </c>
      <c r="AK1282" t="str">
        <f>IF(HR_Data[[#This Row],[MonthlyIncome]]&lt;4000,"Low",IF(HR_Data[[#This Row],[MonthlyIncome]]&lt;=7000,"Medium","High"))</f>
        <v>Medium</v>
      </c>
      <c r="AL128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283" spans="1:38" hidden="1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tr">
        <f>IF(HR_Data[[#This Row],[Age]]&lt;30,"Under 30",IF(HR_Data[[#This Row],[Age]]&lt;=40,"30-40",IF(HR_Data[[#This Row],[Age]]&lt;=50,"41-50","50+")))</f>
        <v>30-40</v>
      </c>
      <c r="AK1283" t="str">
        <f>IF(HR_Data[[#This Row],[MonthlyIncome]]&lt;4000,"Low",IF(HR_Data[[#This Row],[MonthlyIncome]]&lt;=7000,"Medium","High"))</f>
        <v>Medium</v>
      </c>
      <c r="AL128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284" spans="1:38" hidden="1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tr">
        <f>IF(HR_Data[[#This Row],[Age]]&lt;30,"Under 30",IF(HR_Data[[#This Row],[Age]]&lt;=40,"30-40",IF(HR_Data[[#This Row],[Age]]&lt;=50,"41-50","50+")))</f>
        <v>30-40</v>
      </c>
      <c r="AK1284" t="str">
        <f>IF(HR_Data[[#This Row],[MonthlyIncome]]&lt;4000,"Low",IF(HR_Data[[#This Row],[MonthlyIncome]]&lt;=7000,"Medium","High"))</f>
        <v>Low</v>
      </c>
      <c r="AL128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285" spans="1:38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tr">
        <f>IF(HR_Data[[#This Row],[Age]]&lt;30,"Under 30",IF(HR_Data[[#This Row],[Age]]&lt;=40,"30-40",IF(HR_Data[[#This Row],[Age]]&lt;=50,"41-50","50+")))</f>
        <v>Under 30</v>
      </c>
      <c r="AK1285" t="str">
        <f>IF(HR_Data[[#This Row],[MonthlyIncome]]&lt;4000,"Low",IF(HR_Data[[#This Row],[MonthlyIncome]]&lt;=7000,"Medium","High"))</f>
        <v>Low</v>
      </c>
      <c r="AL128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86" spans="1:38" hidden="1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tr">
        <f>IF(HR_Data[[#This Row],[Age]]&lt;30,"Under 30",IF(HR_Data[[#This Row],[Age]]&lt;=40,"30-40",IF(HR_Data[[#This Row],[Age]]&lt;=50,"41-50","50+")))</f>
        <v>30-40</v>
      </c>
      <c r="AK1286" t="str">
        <f>IF(HR_Data[[#This Row],[MonthlyIncome]]&lt;4000,"Low",IF(HR_Data[[#This Row],[MonthlyIncome]]&lt;=7000,"Medium","High"))</f>
        <v>High</v>
      </c>
      <c r="AL128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87" spans="1:38" hidden="1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tr">
        <f>IF(HR_Data[[#This Row],[Age]]&lt;30,"Under 30",IF(HR_Data[[#This Row],[Age]]&lt;=40,"30-40",IF(HR_Data[[#This Row],[Age]]&lt;=50,"41-50","50+")))</f>
        <v>41-50</v>
      </c>
      <c r="AK1287" t="str">
        <f>IF(HR_Data[[#This Row],[MonthlyIncome]]&lt;4000,"Low",IF(HR_Data[[#This Row],[MonthlyIncome]]&lt;=7000,"Medium","High"))</f>
        <v>High</v>
      </c>
      <c r="AL128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88" spans="1:38" hidden="1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tr">
        <f>IF(HR_Data[[#This Row],[Age]]&lt;30,"Under 30",IF(HR_Data[[#This Row],[Age]]&lt;=40,"30-40",IF(HR_Data[[#This Row],[Age]]&lt;=50,"41-50","50+")))</f>
        <v>30-40</v>
      </c>
      <c r="AK1288" t="str">
        <f>IF(HR_Data[[#This Row],[MonthlyIncome]]&lt;4000,"Low",IF(HR_Data[[#This Row],[MonthlyIncome]]&lt;=7000,"Medium","High"))</f>
        <v>Low</v>
      </c>
      <c r="AL128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89" spans="1:38" hidden="1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tr">
        <f>IF(HR_Data[[#This Row],[Age]]&lt;30,"Under 30",IF(HR_Data[[#This Row],[Age]]&lt;=40,"30-40",IF(HR_Data[[#This Row],[Age]]&lt;=50,"41-50","50+")))</f>
        <v>41-50</v>
      </c>
      <c r="AK1289" t="str">
        <f>IF(HR_Data[[#This Row],[MonthlyIncome]]&lt;4000,"Low",IF(HR_Data[[#This Row],[MonthlyIncome]]&lt;=7000,"Medium","High"))</f>
        <v>Medium</v>
      </c>
      <c r="AL1289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290" spans="1:38" hidden="1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tr">
        <f>IF(HR_Data[[#This Row],[Age]]&lt;30,"Under 30",IF(HR_Data[[#This Row],[Age]]&lt;=40,"30-40",IF(HR_Data[[#This Row],[Age]]&lt;=50,"41-50","50+")))</f>
        <v>30-40</v>
      </c>
      <c r="AK1290" t="str">
        <f>IF(HR_Data[[#This Row],[MonthlyIncome]]&lt;4000,"Low",IF(HR_Data[[#This Row],[MonthlyIncome]]&lt;=7000,"Medium","High"))</f>
        <v>Medium</v>
      </c>
      <c r="AL129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291" spans="1:38" hidden="1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tr">
        <f>IF(HR_Data[[#This Row],[Age]]&lt;30,"Under 30",IF(HR_Data[[#This Row],[Age]]&lt;=40,"30-40",IF(HR_Data[[#This Row],[Age]]&lt;=50,"41-50","50+")))</f>
        <v>30-40</v>
      </c>
      <c r="AK1291" t="str">
        <f>IF(HR_Data[[#This Row],[MonthlyIncome]]&lt;4000,"Low",IF(HR_Data[[#This Row],[MonthlyIncome]]&lt;=7000,"Medium","High"))</f>
        <v>Low</v>
      </c>
      <c r="AL1291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292" spans="1:38" hidden="1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tr">
        <f>IF(HR_Data[[#This Row],[Age]]&lt;30,"Under 30",IF(HR_Data[[#This Row],[Age]]&lt;=40,"30-40",IF(HR_Data[[#This Row],[Age]]&lt;=50,"41-50","50+")))</f>
        <v>30-40</v>
      </c>
      <c r="AK1292" t="str">
        <f>IF(HR_Data[[#This Row],[MonthlyIncome]]&lt;4000,"Low",IF(HR_Data[[#This Row],[MonthlyIncome]]&lt;=7000,"Medium","High"))</f>
        <v>Medium</v>
      </c>
      <c r="AL129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293" spans="1:38" hidden="1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tr">
        <f>IF(HR_Data[[#This Row],[Age]]&lt;30,"Under 30",IF(HR_Data[[#This Row],[Age]]&lt;=40,"30-40",IF(HR_Data[[#This Row],[Age]]&lt;=50,"41-50","50+")))</f>
        <v>30-40</v>
      </c>
      <c r="AK1293" t="str">
        <f>IF(HR_Data[[#This Row],[MonthlyIncome]]&lt;4000,"Low",IF(HR_Data[[#This Row],[MonthlyIncome]]&lt;=7000,"Medium","High"))</f>
        <v>Medium</v>
      </c>
      <c r="AL129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294" spans="1:38" hidden="1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tr">
        <f>IF(HR_Data[[#This Row],[Age]]&lt;30,"Under 30",IF(HR_Data[[#This Row],[Age]]&lt;=40,"30-40",IF(HR_Data[[#This Row],[Age]]&lt;=50,"41-50","50+")))</f>
        <v>30-40</v>
      </c>
      <c r="AK1294" t="str">
        <f>IF(HR_Data[[#This Row],[MonthlyIncome]]&lt;4000,"Low",IF(HR_Data[[#This Row],[MonthlyIncome]]&lt;=7000,"Medium","High"))</f>
        <v>Medium</v>
      </c>
      <c r="AL129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95" spans="1:38" hidden="1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tr">
        <f>IF(HR_Data[[#This Row],[Age]]&lt;30,"Under 30",IF(HR_Data[[#This Row],[Age]]&lt;=40,"30-40",IF(HR_Data[[#This Row],[Age]]&lt;=50,"41-50","50+")))</f>
        <v>41-50</v>
      </c>
      <c r="AK1295" t="str">
        <f>IF(HR_Data[[#This Row],[MonthlyIncome]]&lt;4000,"Low",IF(HR_Data[[#This Row],[MonthlyIncome]]&lt;=7000,"Medium","High"))</f>
        <v>Low</v>
      </c>
      <c r="AL129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96" spans="1:38" hidden="1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tr">
        <f>IF(HR_Data[[#This Row],[Age]]&lt;30,"Under 30",IF(HR_Data[[#This Row],[Age]]&lt;=40,"30-40",IF(HR_Data[[#This Row],[Age]]&lt;=50,"41-50","50+")))</f>
        <v>41-50</v>
      </c>
      <c r="AK1296" t="str">
        <f>IF(HR_Data[[#This Row],[MonthlyIncome]]&lt;4000,"Low",IF(HR_Data[[#This Row],[MonthlyIncome]]&lt;=7000,"Medium","High"))</f>
        <v>Medium</v>
      </c>
      <c r="AL129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297" spans="1:38" hidden="1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tr">
        <f>IF(HR_Data[[#This Row],[Age]]&lt;30,"Under 30",IF(HR_Data[[#This Row],[Age]]&lt;=40,"30-40",IF(HR_Data[[#This Row],[Age]]&lt;=50,"41-50","50+")))</f>
        <v>41-50</v>
      </c>
      <c r="AK1297" t="str">
        <f>IF(HR_Data[[#This Row],[MonthlyIncome]]&lt;4000,"Low",IF(HR_Data[[#This Row],[MonthlyIncome]]&lt;=7000,"Medium","High"))</f>
        <v>High</v>
      </c>
      <c r="AL1297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298" spans="1:38" hidden="1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tr">
        <f>IF(HR_Data[[#This Row],[Age]]&lt;30,"Under 30",IF(HR_Data[[#This Row],[Age]]&lt;=40,"30-40",IF(HR_Data[[#This Row],[Age]]&lt;=50,"41-50","50+")))</f>
        <v>30-40</v>
      </c>
      <c r="AK1298" t="str">
        <f>IF(HR_Data[[#This Row],[MonthlyIncome]]&lt;4000,"Low",IF(HR_Data[[#This Row],[MonthlyIncome]]&lt;=7000,"Medium","High"))</f>
        <v>High</v>
      </c>
      <c r="AL129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299" spans="1:38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tr">
        <f>IF(HR_Data[[#This Row],[Age]]&lt;30,"Under 30",IF(HR_Data[[#This Row],[Age]]&lt;=40,"30-40",IF(HR_Data[[#This Row],[Age]]&lt;=50,"41-50","50+")))</f>
        <v>Under 30</v>
      </c>
      <c r="AK1299" t="str">
        <f>IF(HR_Data[[#This Row],[MonthlyIncome]]&lt;4000,"Low",IF(HR_Data[[#This Row],[MonthlyIncome]]&lt;=7000,"Medium","High"))</f>
        <v>Low</v>
      </c>
      <c r="AL129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00" spans="1:38" hidden="1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tr">
        <f>IF(HR_Data[[#This Row],[Age]]&lt;30,"Under 30",IF(HR_Data[[#This Row],[Age]]&lt;=40,"30-40",IF(HR_Data[[#This Row],[Age]]&lt;=50,"41-50","50+")))</f>
        <v>41-50</v>
      </c>
      <c r="AK1300" t="str">
        <f>IF(HR_Data[[#This Row],[MonthlyIncome]]&lt;4000,"Low",IF(HR_Data[[#This Row],[MonthlyIncome]]&lt;=7000,"Medium","High"))</f>
        <v>High</v>
      </c>
      <c r="AL130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301" spans="1:38" hidden="1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tr">
        <f>IF(HR_Data[[#This Row],[Age]]&lt;30,"Under 30",IF(HR_Data[[#This Row],[Age]]&lt;=40,"30-40",IF(HR_Data[[#This Row],[Age]]&lt;=50,"41-50","50+")))</f>
        <v>30-40</v>
      </c>
      <c r="AK1301" t="str">
        <f>IF(HR_Data[[#This Row],[MonthlyIncome]]&lt;4000,"Low",IF(HR_Data[[#This Row],[MonthlyIncome]]&lt;=7000,"Medium","High"))</f>
        <v>Medium</v>
      </c>
      <c r="AL130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02" spans="1:38" hidden="1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tr">
        <f>IF(HR_Data[[#This Row],[Age]]&lt;30,"Under 30",IF(HR_Data[[#This Row],[Age]]&lt;=40,"30-40",IF(HR_Data[[#This Row],[Age]]&lt;=50,"41-50","50+")))</f>
        <v>30-40</v>
      </c>
      <c r="AK1302" t="str">
        <f>IF(HR_Data[[#This Row],[MonthlyIncome]]&lt;4000,"Low",IF(HR_Data[[#This Row],[MonthlyIncome]]&lt;=7000,"Medium","High"))</f>
        <v>Medium</v>
      </c>
      <c r="AL130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303" spans="1:38" hidden="1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tr">
        <f>IF(HR_Data[[#This Row],[Age]]&lt;30,"Under 30",IF(HR_Data[[#This Row],[Age]]&lt;=40,"30-40",IF(HR_Data[[#This Row],[Age]]&lt;=50,"41-50","50+")))</f>
        <v>50+</v>
      </c>
      <c r="AK1303" t="str">
        <f>IF(HR_Data[[#This Row],[MonthlyIncome]]&lt;4000,"Low",IF(HR_Data[[#This Row],[MonthlyIncome]]&lt;=7000,"Medium","High"))</f>
        <v>High</v>
      </c>
      <c r="AL1303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304" spans="1:38" hidden="1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tr">
        <f>IF(HR_Data[[#This Row],[Age]]&lt;30,"Under 30",IF(HR_Data[[#This Row],[Age]]&lt;=40,"30-40",IF(HR_Data[[#This Row],[Age]]&lt;=50,"41-50","50+")))</f>
        <v>30-40</v>
      </c>
      <c r="AK1304" t="str">
        <f>IF(HR_Data[[#This Row],[MonthlyIncome]]&lt;4000,"Low",IF(HR_Data[[#This Row],[MonthlyIncome]]&lt;=7000,"Medium","High"))</f>
        <v>Low</v>
      </c>
      <c r="AL130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05" spans="1:38" hidden="1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tr">
        <f>IF(HR_Data[[#This Row],[Age]]&lt;30,"Under 30",IF(HR_Data[[#This Row],[Age]]&lt;=40,"30-40",IF(HR_Data[[#This Row],[Age]]&lt;=50,"41-50","50+")))</f>
        <v>41-50</v>
      </c>
      <c r="AK1305" t="str">
        <f>IF(HR_Data[[#This Row],[MonthlyIncome]]&lt;4000,"Low",IF(HR_Data[[#This Row],[MonthlyIncome]]&lt;=7000,"Medium","High"))</f>
        <v>High</v>
      </c>
      <c r="AL1305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306" spans="1:38" hidden="1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tr">
        <f>IF(HR_Data[[#This Row],[Age]]&lt;30,"Under 30",IF(HR_Data[[#This Row],[Age]]&lt;=40,"30-40",IF(HR_Data[[#This Row],[Age]]&lt;=50,"41-50","50+")))</f>
        <v>30-40</v>
      </c>
      <c r="AK1306" t="str">
        <f>IF(HR_Data[[#This Row],[MonthlyIncome]]&lt;4000,"Low",IF(HR_Data[[#This Row],[MonthlyIncome]]&lt;=7000,"Medium","High"))</f>
        <v>Medium</v>
      </c>
      <c r="AL130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307" spans="1:38" hidden="1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tr">
        <f>IF(HR_Data[[#This Row],[Age]]&lt;30,"Under 30",IF(HR_Data[[#This Row],[Age]]&lt;=40,"30-40",IF(HR_Data[[#This Row],[Age]]&lt;=50,"41-50","50+")))</f>
        <v>50+</v>
      </c>
      <c r="AK1307" t="str">
        <f>IF(HR_Data[[#This Row],[MonthlyIncome]]&lt;4000,"Low",IF(HR_Data[[#This Row],[MonthlyIncome]]&lt;=7000,"Medium","High"))</f>
        <v>Medium</v>
      </c>
      <c r="AL130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308" spans="1:38" hidden="1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tr">
        <f>IF(HR_Data[[#This Row],[Age]]&lt;30,"Under 30",IF(HR_Data[[#This Row],[Age]]&lt;=40,"30-40",IF(HR_Data[[#This Row],[Age]]&lt;=50,"41-50","50+")))</f>
        <v>30-40</v>
      </c>
      <c r="AK1308" t="str">
        <f>IF(HR_Data[[#This Row],[MonthlyIncome]]&lt;4000,"Low",IF(HR_Data[[#This Row],[MonthlyIncome]]&lt;=7000,"Medium","High"))</f>
        <v>High</v>
      </c>
      <c r="AL130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09" spans="1:38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tr">
        <f>IF(HR_Data[[#This Row],[Age]]&lt;30,"Under 30",IF(HR_Data[[#This Row],[Age]]&lt;=40,"30-40",IF(HR_Data[[#This Row],[Age]]&lt;=50,"41-50","50+")))</f>
        <v>Under 30</v>
      </c>
      <c r="AK1309" t="str">
        <f>IF(HR_Data[[#This Row],[MonthlyIncome]]&lt;4000,"Low",IF(HR_Data[[#This Row],[MonthlyIncome]]&lt;=7000,"Medium","High"))</f>
        <v>Low</v>
      </c>
      <c r="AL130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10" spans="1:38" hidden="1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tr">
        <f>IF(HR_Data[[#This Row],[Age]]&lt;30,"Under 30",IF(HR_Data[[#This Row],[Age]]&lt;=40,"30-40",IF(HR_Data[[#This Row],[Age]]&lt;=50,"41-50","50+")))</f>
        <v>30-40</v>
      </c>
      <c r="AK1310" t="str">
        <f>IF(HR_Data[[#This Row],[MonthlyIncome]]&lt;4000,"Low",IF(HR_Data[[#This Row],[MonthlyIncome]]&lt;=7000,"Medium","High"))</f>
        <v>Medium</v>
      </c>
      <c r="AL131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11" spans="1:38" hidden="1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tr">
        <f>IF(HR_Data[[#This Row],[Age]]&lt;30,"Under 30",IF(HR_Data[[#This Row],[Age]]&lt;=40,"30-40",IF(HR_Data[[#This Row],[Age]]&lt;=50,"41-50","50+")))</f>
        <v>Under 30</v>
      </c>
      <c r="AK1311" t="str">
        <f>IF(HR_Data[[#This Row],[MonthlyIncome]]&lt;4000,"Low",IF(HR_Data[[#This Row],[MonthlyIncome]]&lt;=7000,"Medium","High"))</f>
        <v>Medium</v>
      </c>
      <c r="AL131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12" spans="1:38" hidden="1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tr">
        <f>IF(HR_Data[[#This Row],[Age]]&lt;30,"Under 30",IF(HR_Data[[#This Row],[Age]]&lt;=40,"30-40",IF(HR_Data[[#This Row],[Age]]&lt;=50,"41-50","50+")))</f>
        <v>50+</v>
      </c>
      <c r="AK1312" t="str">
        <f>IF(HR_Data[[#This Row],[MonthlyIncome]]&lt;4000,"Low",IF(HR_Data[[#This Row],[MonthlyIncome]]&lt;=7000,"Medium","High"))</f>
        <v>High</v>
      </c>
      <c r="AL131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13" spans="1:38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t="str">
        <f>IF(HR_Data[[#This Row],[Age]]&lt;30,"Under 30",IF(HR_Data[[#This Row],[Age]]&lt;=40,"30-40",IF(HR_Data[[#This Row],[Age]]&lt;=50,"41-50","50+")))</f>
        <v>Under 30</v>
      </c>
      <c r="AK1313" t="str">
        <f>IF(HR_Data[[#This Row],[MonthlyIncome]]&lt;4000,"Low",IF(HR_Data[[#This Row],[MonthlyIncome]]&lt;=7000,"Medium","High"))</f>
        <v>Low</v>
      </c>
      <c r="AL1313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314" spans="1:38" hidden="1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tr">
        <f>IF(HR_Data[[#This Row],[Age]]&lt;30,"Under 30",IF(HR_Data[[#This Row],[Age]]&lt;=40,"30-40",IF(HR_Data[[#This Row],[Age]]&lt;=50,"41-50","50+")))</f>
        <v>30-40</v>
      </c>
      <c r="AK1314" t="str">
        <f>IF(HR_Data[[#This Row],[MonthlyIncome]]&lt;4000,"Low",IF(HR_Data[[#This Row],[MonthlyIncome]]&lt;=7000,"Medium","High"))</f>
        <v>Low</v>
      </c>
      <c r="AL1314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315" spans="1:38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tr">
        <f>IF(HR_Data[[#This Row],[Age]]&lt;30,"Under 30",IF(HR_Data[[#This Row],[Age]]&lt;=40,"30-40",IF(HR_Data[[#This Row],[Age]]&lt;=50,"41-50","50+")))</f>
        <v>Under 30</v>
      </c>
      <c r="AK1315" t="str">
        <f>IF(HR_Data[[#This Row],[MonthlyIncome]]&lt;4000,"Low",IF(HR_Data[[#This Row],[MonthlyIncome]]&lt;=7000,"Medium","High"))</f>
        <v>Low</v>
      </c>
      <c r="AL131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16" spans="1:38" hidden="1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tr">
        <f>IF(HR_Data[[#This Row],[Age]]&lt;30,"Under 30",IF(HR_Data[[#This Row],[Age]]&lt;=40,"30-40",IF(HR_Data[[#This Row],[Age]]&lt;=50,"41-50","50+")))</f>
        <v>41-50</v>
      </c>
      <c r="AK1316" t="str">
        <f>IF(HR_Data[[#This Row],[MonthlyIncome]]&lt;4000,"Low",IF(HR_Data[[#This Row],[MonthlyIncome]]&lt;=7000,"Medium","High"))</f>
        <v>Medium</v>
      </c>
      <c r="AL131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317" spans="1:38" hidden="1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tr">
        <f>IF(HR_Data[[#This Row],[Age]]&lt;30,"Under 30",IF(HR_Data[[#This Row],[Age]]&lt;=40,"30-40",IF(HR_Data[[#This Row],[Age]]&lt;=50,"41-50","50+")))</f>
        <v>30-40</v>
      </c>
      <c r="AK1317" t="str">
        <f>IF(HR_Data[[#This Row],[MonthlyIncome]]&lt;4000,"Low",IF(HR_Data[[#This Row],[MonthlyIncome]]&lt;=7000,"Medium","High"))</f>
        <v>Medium</v>
      </c>
      <c r="AL1317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318" spans="1:38" hidden="1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tr">
        <f>IF(HR_Data[[#This Row],[Age]]&lt;30,"Under 30",IF(HR_Data[[#This Row],[Age]]&lt;=40,"30-40",IF(HR_Data[[#This Row],[Age]]&lt;=50,"41-50","50+")))</f>
        <v>41-50</v>
      </c>
      <c r="AK1318" t="str">
        <f>IF(HR_Data[[#This Row],[MonthlyIncome]]&lt;4000,"Low",IF(HR_Data[[#This Row],[MonthlyIncome]]&lt;=7000,"Medium","High"))</f>
        <v>Medium</v>
      </c>
      <c r="AL131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319" spans="1:38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tr">
        <f>IF(HR_Data[[#This Row],[Age]]&lt;30,"Under 30",IF(HR_Data[[#This Row],[Age]]&lt;=40,"30-40",IF(HR_Data[[#This Row],[Age]]&lt;=50,"41-50","50+")))</f>
        <v>Under 30</v>
      </c>
      <c r="AK1319" t="str">
        <f>IF(HR_Data[[#This Row],[MonthlyIncome]]&lt;4000,"Low",IF(HR_Data[[#This Row],[MonthlyIncome]]&lt;=7000,"Medium","High"))</f>
        <v>Low</v>
      </c>
      <c r="AL131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20" spans="1:38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tr">
        <f>IF(HR_Data[[#This Row],[Age]]&lt;30,"Under 30",IF(HR_Data[[#This Row],[Age]]&lt;=40,"30-40",IF(HR_Data[[#This Row],[Age]]&lt;=50,"41-50","50+")))</f>
        <v>Under 30</v>
      </c>
      <c r="AK1320" t="str">
        <f>IF(HR_Data[[#This Row],[MonthlyIncome]]&lt;4000,"Low",IF(HR_Data[[#This Row],[MonthlyIncome]]&lt;=7000,"Medium","High"))</f>
        <v>Low</v>
      </c>
      <c r="AL1320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321" spans="1:38" hidden="1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tr">
        <f>IF(HR_Data[[#This Row],[Age]]&lt;30,"Under 30",IF(HR_Data[[#This Row],[Age]]&lt;=40,"30-40",IF(HR_Data[[#This Row],[Age]]&lt;=50,"41-50","50+")))</f>
        <v>30-40</v>
      </c>
      <c r="AK1321" t="str">
        <f>IF(HR_Data[[#This Row],[MonthlyIncome]]&lt;4000,"Low",IF(HR_Data[[#This Row],[MonthlyIncome]]&lt;=7000,"Medium","High"))</f>
        <v>Medium</v>
      </c>
      <c r="AL1321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322" spans="1:38" hidden="1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tr">
        <f>IF(HR_Data[[#This Row],[Age]]&lt;30,"Under 30",IF(HR_Data[[#This Row],[Age]]&lt;=40,"30-40",IF(HR_Data[[#This Row],[Age]]&lt;=50,"41-50","50+")))</f>
        <v>41-50</v>
      </c>
      <c r="AK1322" t="str">
        <f>IF(HR_Data[[#This Row],[MonthlyIncome]]&lt;4000,"Low",IF(HR_Data[[#This Row],[MonthlyIncome]]&lt;=7000,"Medium","High"))</f>
        <v>Low</v>
      </c>
      <c r="AL132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323" spans="1:38" hidden="1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tr">
        <f>IF(HR_Data[[#This Row],[Age]]&lt;30,"Under 30",IF(HR_Data[[#This Row],[Age]]&lt;=40,"30-40",IF(HR_Data[[#This Row],[Age]]&lt;=50,"41-50","50+")))</f>
        <v>41-50</v>
      </c>
      <c r="AK1323" t="str">
        <f>IF(HR_Data[[#This Row],[MonthlyIncome]]&lt;4000,"Low",IF(HR_Data[[#This Row],[MonthlyIncome]]&lt;=7000,"Medium","High"))</f>
        <v>Low</v>
      </c>
      <c r="AL132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24" spans="1:38" hidden="1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tr">
        <f>IF(HR_Data[[#This Row],[Age]]&lt;30,"Under 30",IF(HR_Data[[#This Row],[Age]]&lt;=40,"30-40",IF(HR_Data[[#This Row],[Age]]&lt;=50,"41-50","50+")))</f>
        <v>41-50</v>
      </c>
      <c r="AK1324" t="str">
        <f>IF(HR_Data[[#This Row],[MonthlyIncome]]&lt;4000,"Low",IF(HR_Data[[#This Row],[MonthlyIncome]]&lt;=7000,"Medium","High"))</f>
        <v>High</v>
      </c>
      <c r="AL132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325" spans="1:38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tr">
        <f>IF(HR_Data[[#This Row],[Age]]&lt;30,"Under 30",IF(HR_Data[[#This Row],[Age]]&lt;=40,"30-40",IF(HR_Data[[#This Row],[Age]]&lt;=50,"41-50","50+")))</f>
        <v>Under 30</v>
      </c>
      <c r="AK1325" t="str">
        <f>IF(HR_Data[[#This Row],[MonthlyIncome]]&lt;4000,"Low",IF(HR_Data[[#This Row],[MonthlyIncome]]&lt;=7000,"Medium","High"))</f>
        <v>Low</v>
      </c>
      <c r="AL132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26" spans="1:38" hidden="1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tr">
        <f>IF(HR_Data[[#This Row],[Age]]&lt;30,"Under 30",IF(HR_Data[[#This Row],[Age]]&lt;=40,"30-40",IF(HR_Data[[#This Row],[Age]]&lt;=50,"41-50","50+")))</f>
        <v>Under 30</v>
      </c>
      <c r="AK1326" t="str">
        <f>IF(HR_Data[[#This Row],[MonthlyIncome]]&lt;4000,"Low",IF(HR_Data[[#This Row],[MonthlyIncome]]&lt;=7000,"Medium","High"))</f>
        <v>Medium</v>
      </c>
      <c r="AL132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327" spans="1:38" hidden="1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tr">
        <f>IF(HR_Data[[#This Row],[Age]]&lt;30,"Under 30",IF(HR_Data[[#This Row],[Age]]&lt;=40,"30-40",IF(HR_Data[[#This Row],[Age]]&lt;=50,"41-50","50+")))</f>
        <v>41-50</v>
      </c>
      <c r="AK1327" t="str">
        <f>IF(HR_Data[[#This Row],[MonthlyIncome]]&lt;4000,"Low",IF(HR_Data[[#This Row],[MonthlyIncome]]&lt;=7000,"Medium","High"))</f>
        <v>Low</v>
      </c>
      <c r="AL1327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328" spans="1:38" hidden="1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tr">
        <f>IF(HR_Data[[#This Row],[Age]]&lt;30,"Under 30",IF(HR_Data[[#This Row],[Age]]&lt;=40,"30-40",IF(HR_Data[[#This Row],[Age]]&lt;=50,"41-50","50+")))</f>
        <v>30-40</v>
      </c>
      <c r="AK1328" t="str">
        <f>IF(HR_Data[[#This Row],[MonthlyIncome]]&lt;4000,"Low",IF(HR_Data[[#This Row],[MonthlyIncome]]&lt;=7000,"Medium","High"))</f>
        <v>High</v>
      </c>
      <c r="AL132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29" spans="1:38" hidden="1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tr">
        <f>IF(HR_Data[[#This Row],[Age]]&lt;30,"Under 30",IF(HR_Data[[#This Row],[Age]]&lt;=40,"30-40",IF(HR_Data[[#This Row],[Age]]&lt;=50,"41-50","50+")))</f>
        <v>41-50</v>
      </c>
      <c r="AK1329" t="str">
        <f>IF(HR_Data[[#This Row],[MonthlyIncome]]&lt;4000,"Low",IF(HR_Data[[#This Row],[MonthlyIncome]]&lt;=7000,"Medium","High"))</f>
        <v>High</v>
      </c>
      <c r="AL1329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330" spans="1:38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tr">
        <f>IF(HR_Data[[#This Row],[Age]]&lt;30,"Under 30",IF(HR_Data[[#This Row],[Age]]&lt;=40,"30-40",IF(HR_Data[[#This Row],[Age]]&lt;=50,"41-50","50+")))</f>
        <v>Under 30</v>
      </c>
      <c r="AK1330" t="str">
        <f>IF(HR_Data[[#This Row],[MonthlyIncome]]&lt;4000,"Low",IF(HR_Data[[#This Row],[MonthlyIncome]]&lt;=7000,"Medium","High"))</f>
        <v>Low</v>
      </c>
      <c r="AL133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331" spans="1:38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tr">
        <f>IF(HR_Data[[#This Row],[Age]]&lt;30,"Under 30",IF(HR_Data[[#This Row],[Age]]&lt;=40,"30-40",IF(HR_Data[[#This Row],[Age]]&lt;=50,"41-50","50+")))</f>
        <v>Under 30</v>
      </c>
      <c r="AK1331" t="str">
        <f>IF(HR_Data[[#This Row],[MonthlyIncome]]&lt;4000,"Low",IF(HR_Data[[#This Row],[MonthlyIncome]]&lt;=7000,"Medium","High"))</f>
        <v>Low</v>
      </c>
      <c r="AL1331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332" spans="1:38" hidden="1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tr">
        <f>IF(HR_Data[[#This Row],[Age]]&lt;30,"Under 30",IF(HR_Data[[#This Row],[Age]]&lt;=40,"30-40",IF(HR_Data[[#This Row],[Age]]&lt;=50,"41-50","50+")))</f>
        <v>41-50</v>
      </c>
      <c r="AK1332" t="str">
        <f>IF(HR_Data[[#This Row],[MonthlyIncome]]&lt;4000,"Low",IF(HR_Data[[#This Row],[MonthlyIncome]]&lt;=7000,"Medium","High"))</f>
        <v>High</v>
      </c>
      <c r="AL1332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333" spans="1:38" hidden="1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tr">
        <f>IF(HR_Data[[#This Row],[Age]]&lt;30,"Under 30",IF(HR_Data[[#This Row],[Age]]&lt;=40,"30-40",IF(HR_Data[[#This Row],[Age]]&lt;=50,"41-50","50+")))</f>
        <v>41-50</v>
      </c>
      <c r="AK1333" t="str">
        <f>IF(HR_Data[[#This Row],[MonthlyIncome]]&lt;4000,"Low",IF(HR_Data[[#This Row],[MonthlyIncome]]&lt;=7000,"Medium","High"))</f>
        <v>High</v>
      </c>
      <c r="AL1333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334" spans="1:38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tr">
        <f>IF(HR_Data[[#This Row],[Age]]&lt;30,"Under 30",IF(HR_Data[[#This Row],[Age]]&lt;=40,"30-40",IF(HR_Data[[#This Row],[Age]]&lt;=50,"41-50","50+")))</f>
        <v>Under 30</v>
      </c>
      <c r="AK1334" t="str">
        <f>IF(HR_Data[[#This Row],[MonthlyIncome]]&lt;4000,"Low",IF(HR_Data[[#This Row],[MonthlyIncome]]&lt;=7000,"Medium","High"))</f>
        <v>Low</v>
      </c>
      <c r="AL1334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335" spans="1:38" hidden="1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tr">
        <f>IF(HR_Data[[#This Row],[Age]]&lt;30,"Under 30",IF(HR_Data[[#This Row],[Age]]&lt;=40,"30-40",IF(HR_Data[[#This Row],[Age]]&lt;=50,"41-50","50+")))</f>
        <v>41-50</v>
      </c>
      <c r="AK1335" t="str">
        <f>IF(HR_Data[[#This Row],[MonthlyIncome]]&lt;4000,"Low",IF(HR_Data[[#This Row],[MonthlyIncome]]&lt;=7000,"Medium","High"))</f>
        <v>High</v>
      </c>
      <c r="AL133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336" spans="1:38" hidden="1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tr">
        <f>IF(HR_Data[[#This Row],[Age]]&lt;30,"Under 30",IF(HR_Data[[#This Row],[Age]]&lt;=40,"30-40",IF(HR_Data[[#This Row],[Age]]&lt;=50,"41-50","50+")))</f>
        <v>Under 30</v>
      </c>
      <c r="AK1336" t="str">
        <f>IF(HR_Data[[#This Row],[MonthlyIncome]]&lt;4000,"Low",IF(HR_Data[[#This Row],[MonthlyIncome]]&lt;=7000,"Medium","High"))</f>
        <v>Medium</v>
      </c>
      <c r="AL133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337" spans="1:38" hidden="1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tr">
        <f>IF(HR_Data[[#This Row],[Age]]&lt;30,"Under 30",IF(HR_Data[[#This Row],[Age]]&lt;=40,"30-40",IF(HR_Data[[#This Row],[Age]]&lt;=50,"41-50","50+")))</f>
        <v>30-40</v>
      </c>
      <c r="AK1337" t="str">
        <f>IF(HR_Data[[#This Row],[MonthlyIncome]]&lt;4000,"Low",IF(HR_Data[[#This Row],[MonthlyIncome]]&lt;=7000,"Medium","High"))</f>
        <v>Low</v>
      </c>
      <c r="AL133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38" spans="1:38" hidden="1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tr">
        <f>IF(HR_Data[[#This Row],[Age]]&lt;30,"Under 30",IF(HR_Data[[#This Row],[Age]]&lt;=40,"30-40",IF(HR_Data[[#This Row],[Age]]&lt;=50,"41-50","50+")))</f>
        <v>50+</v>
      </c>
      <c r="AK1338" t="str">
        <f>IF(HR_Data[[#This Row],[MonthlyIncome]]&lt;4000,"Low",IF(HR_Data[[#This Row],[MonthlyIncome]]&lt;=7000,"Medium","High"))</f>
        <v>Low</v>
      </c>
      <c r="AL133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39" spans="1:38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tr">
        <f>IF(HR_Data[[#This Row],[Age]]&lt;30,"Under 30",IF(HR_Data[[#This Row],[Age]]&lt;=40,"30-40",IF(HR_Data[[#This Row],[Age]]&lt;=50,"41-50","50+")))</f>
        <v>Under 30</v>
      </c>
      <c r="AK1339" t="str">
        <f>IF(HR_Data[[#This Row],[MonthlyIncome]]&lt;4000,"Low",IF(HR_Data[[#This Row],[MonthlyIncome]]&lt;=7000,"Medium","High"))</f>
        <v>Low</v>
      </c>
      <c r="AL1339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340" spans="1:38" hidden="1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tr">
        <f>IF(HR_Data[[#This Row],[Age]]&lt;30,"Under 30",IF(HR_Data[[#This Row],[Age]]&lt;=40,"30-40",IF(HR_Data[[#This Row],[Age]]&lt;=50,"41-50","50+")))</f>
        <v>30-40</v>
      </c>
      <c r="AK1340" t="str">
        <f>IF(HR_Data[[#This Row],[MonthlyIncome]]&lt;4000,"Low",IF(HR_Data[[#This Row],[MonthlyIncome]]&lt;=7000,"Medium","High"))</f>
        <v>Low</v>
      </c>
      <c r="AL1340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341" spans="1:38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tr">
        <f>IF(HR_Data[[#This Row],[Age]]&lt;30,"Under 30",IF(HR_Data[[#This Row],[Age]]&lt;=40,"30-40",IF(HR_Data[[#This Row],[Age]]&lt;=50,"41-50","50+")))</f>
        <v>Under 30</v>
      </c>
      <c r="AK1341" t="str">
        <f>IF(HR_Data[[#This Row],[MonthlyIncome]]&lt;4000,"Low",IF(HR_Data[[#This Row],[MonthlyIncome]]&lt;=7000,"Medium","High"))</f>
        <v>Low</v>
      </c>
      <c r="AL1341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342" spans="1:38" hidden="1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tr">
        <f>IF(HR_Data[[#This Row],[Age]]&lt;30,"Under 30",IF(HR_Data[[#This Row],[Age]]&lt;=40,"30-40",IF(HR_Data[[#This Row],[Age]]&lt;=50,"41-50","50+")))</f>
        <v>30-40</v>
      </c>
      <c r="AK1342" t="str">
        <f>IF(HR_Data[[#This Row],[MonthlyIncome]]&lt;4000,"Low",IF(HR_Data[[#This Row],[MonthlyIncome]]&lt;=7000,"Medium","High"))</f>
        <v>Medium</v>
      </c>
      <c r="AL134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343" spans="1:38" hidden="1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tr">
        <f>IF(HR_Data[[#This Row],[Age]]&lt;30,"Under 30",IF(HR_Data[[#This Row],[Age]]&lt;=40,"30-40",IF(HR_Data[[#This Row],[Age]]&lt;=50,"41-50","50+")))</f>
        <v>30-40</v>
      </c>
      <c r="AK1343" t="str">
        <f>IF(HR_Data[[#This Row],[MonthlyIncome]]&lt;4000,"Low",IF(HR_Data[[#This Row],[MonthlyIncome]]&lt;=7000,"Medium","High"))</f>
        <v>Medium</v>
      </c>
      <c r="AL134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344" spans="1:38" hidden="1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tr">
        <f>IF(HR_Data[[#This Row],[Age]]&lt;30,"Under 30",IF(HR_Data[[#This Row],[Age]]&lt;=40,"30-40",IF(HR_Data[[#This Row],[Age]]&lt;=50,"41-50","50+")))</f>
        <v>30-40</v>
      </c>
      <c r="AK1344" t="str">
        <f>IF(HR_Data[[#This Row],[MonthlyIncome]]&lt;4000,"Low",IF(HR_Data[[#This Row],[MonthlyIncome]]&lt;=7000,"Medium","High"))</f>
        <v>High</v>
      </c>
      <c r="AL134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45" spans="1:38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tr">
        <f>IF(HR_Data[[#This Row],[Age]]&lt;30,"Under 30",IF(HR_Data[[#This Row],[Age]]&lt;=40,"30-40",IF(HR_Data[[#This Row],[Age]]&lt;=50,"41-50","50+")))</f>
        <v>Under 30</v>
      </c>
      <c r="AK1345" t="str">
        <f>IF(HR_Data[[#This Row],[MonthlyIncome]]&lt;4000,"Low",IF(HR_Data[[#This Row],[MonthlyIncome]]&lt;=7000,"Medium","High"))</f>
        <v>Low</v>
      </c>
      <c r="AL134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46" spans="1:38" hidden="1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tr">
        <f>IF(HR_Data[[#This Row],[Age]]&lt;30,"Under 30",IF(HR_Data[[#This Row],[Age]]&lt;=40,"30-40",IF(HR_Data[[#This Row],[Age]]&lt;=50,"41-50","50+")))</f>
        <v>30-40</v>
      </c>
      <c r="AK1346" t="str">
        <f>IF(HR_Data[[#This Row],[MonthlyIncome]]&lt;4000,"Low",IF(HR_Data[[#This Row],[MonthlyIncome]]&lt;=7000,"Medium","High"))</f>
        <v>Medium</v>
      </c>
      <c r="AL134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47" spans="1:38" hidden="1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tr">
        <f>IF(HR_Data[[#This Row],[Age]]&lt;30,"Under 30",IF(HR_Data[[#This Row],[Age]]&lt;=40,"30-40",IF(HR_Data[[#This Row],[Age]]&lt;=50,"41-50","50+")))</f>
        <v>30-40</v>
      </c>
      <c r="AK1347" t="str">
        <f>IF(HR_Data[[#This Row],[MonthlyIncome]]&lt;4000,"Low",IF(HR_Data[[#This Row],[MonthlyIncome]]&lt;=7000,"Medium","High"))</f>
        <v>Medium</v>
      </c>
      <c r="AL134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48" spans="1:38" hidden="1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tr">
        <f>IF(HR_Data[[#This Row],[Age]]&lt;30,"Under 30",IF(HR_Data[[#This Row],[Age]]&lt;=40,"30-40",IF(HR_Data[[#This Row],[Age]]&lt;=50,"41-50","50+")))</f>
        <v>41-50</v>
      </c>
      <c r="AK1348" t="str">
        <f>IF(HR_Data[[#This Row],[MonthlyIncome]]&lt;4000,"Low",IF(HR_Data[[#This Row],[MonthlyIncome]]&lt;=7000,"Medium","High"))</f>
        <v>Medium</v>
      </c>
      <c r="AL134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349" spans="1:38" hidden="1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tr">
        <f>IF(HR_Data[[#This Row],[Age]]&lt;30,"Under 30",IF(HR_Data[[#This Row],[Age]]&lt;=40,"30-40",IF(HR_Data[[#This Row],[Age]]&lt;=50,"41-50","50+")))</f>
        <v>30-40</v>
      </c>
      <c r="AK1349" t="str">
        <f>IF(HR_Data[[#This Row],[MonthlyIncome]]&lt;4000,"Low",IF(HR_Data[[#This Row],[MonthlyIncome]]&lt;=7000,"Medium","High"))</f>
        <v>Low</v>
      </c>
      <c r="AL1349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350" spans="1:38" hidden="1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tr">
        <f>IF(HR_Data[[#This Row],[Age]]&lt;30,"Under 30",IF(HR_Data[[#This Row],[Age]]&lt;=40,"30-40",IF(HR_Data[[#This Row],[Age]]&lt;=50,"41-50","50+")))</f>
        <v>30-40</v>
      </c>
      <c r="AK1350" t="str">
        <f>IF(HR_Data[[#This Row],[MonthlyIncome]]&lt;4000,"Low",IF(HR_Data[[#This Row],[MonthlyIncome]]&lt;=7000,"Medium","High"))</f>
        <v>High</v>
      </c>
      <c r="AL1350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351" spans="1:38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tr">
        <f>IF(HR_Data[[#This Row],[Age]]&lt;30,"Under 30",IF(HR_Data[[#This Row],[Age]]&lt;=40,"30-40",IF(HR_Data[[#This Row],[Age]]&lt;=50,"41-50","50+")))</f>
        <v>Under 30</v>
      </c>
      <c r="AK1351" t="str">
        <f>IF(HR_Data[[#This Row],[MonthlyIncome]]&lt;4000,"Low",IF(HR_Data[[#This Row],[MonthlyIncome]]&lt;=7000,"Medium","High"))</f>
        <v>Low</v>
      </c>
      <c r="AL1351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352" spans="1:38" hidden="1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tr">
        <f>IF(HR_Data[[#This Row],[Age]]&lt;30,"Under 30",IF(HR_Data[[#This Row],[Age]]&lt;=40,"30-40",IF(HR_Data[[#This Row],[Age]]&lt;=50,"41-50","50+")))</f>
        <v>Under 30</v>
      </c>
      <c r="AK1352" t="str">
        <f>IF(HR_Data[[#This Row],[MonthlyIncome]]&lt;4000,"Low",IF(HR_Data[[#This Row],[MonthlyIncome]]&lt;=7000,"Medium","High"))</f>
        <v>Medium</v>
      </c>
      <c r="AL135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353" spans="1:38" hidden="1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tr">
        <f>IF(HR_Data[[#This Row],[Age]]&lt;30,"Under 30",IF(HR_Data[[#This Row],[Age]]&lt;=40,"30-40",IF(HR_Data[[#This Row],[Age]]&lt;=50,"41-50","50+")))</f>
        <v>41-50</v>
      </c>
      <c r="AK1353" t="str">
        <f>IF(HR_Data[[#This Row],[MonthlyIncome]]&lt;4000,"Low",IF(HR_Data[[#This Row],[MonthlyIncome]]&lt;=7000,"Medium","High"))</f>
        <v>High</v>
      </c>
      <c r="AL1353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354" spans="1:38" hidden="1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tr">
        <f>IF(HR_Data[[#This Row],[Age]]&lt;30,"Under 30",IF(HR_Data[[#This Row],[Age]]&lt;=40,"30-40",IF(HR_Data[[#This Row],[Age]]&lt;=50,"41-50","50+")))</f>
        <v>41-50</v>
      </c>
      <c r="AK1354" t="str">
        <f>IF(HR_Data[[#This Row],[MonthlyIncome]]&lt;4000,"Low",IF(HR_Data[[#This Row],[MonthlyIncome]]&lt;=7000,"Medium","High"))</f>
        <v>Medium</v>
      </c>
      <c r="AL135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55" spans="1:38" hidden="1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tr">
        <f>IF(HR_Data[[#This Row],[Age]]&lt;30,"Under 30",IF(HR_Data[[#This Row],[Age]]&lt;=40,"30-40",IF(HR_Data[[#This Row],[Age]]&lt;=50,"41-50","50+")))</f>
        <v>30-40</v>
      </c>
      <c r="AK1355" t="str">
        <f>IF(HR_Data[[#This Row],[MonthlyIncome]]&lt;4000,"Low",IF(HR_Data[[#This Row],[MonthlyIncome]]&lt;=7000,"Medium","High"))</f>
        <v>Low</v>
      </c>
      <c r="AL135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56" spans="1:38" hidden="1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tr">
        <f>IF(HR_Data[[#This Row],[Age]]&lt;30,"Under 30",IF(HR_Data[[#This Row],[Age]]&lt;=40,"30-40",IF(HR_Data[[#This Row],[Age]]&lt;=50,"41-50","50+")))</f>
        <v>50+</v>
      </c>
      <c r="AK1356" t="str">
        <f>IF(HR_Data[[#This Row],[MonthlyIncome]]&lt;4000,"Low",IF(HR_Data[[#This Row],[MonthlyIncome]]&lt;=7000,"Medium","High"))</f>
        <v>Low</v>
      </c>
      <c r="AL135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57" spans="1:38" hidden="1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tr">
        <f>IF(HR_Data[[#This Row],[Age]]&lt;30,"Under 30",IF(HR_Data[[#This Row],[Age]]&lt;=40,"30-40",IF(HR_Data[[#This Row],[Age]]&lt;=50,"41-50","50+")))</f>
        <v>30-40</v>
      </c>
      <c r="AK1357" t="str">
        <f>IF(HR_Data[[#This Row],[MonthlyIncome]]&lt;4000,"Low",IF(HR_Data[[#This Row],[MonthlyIncome]]&lt;=7000,"Medium","High"))</f>
        <v>Medium</v>
      </c>
      <c r="AL135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58" spans="1:38" hidden="1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tr">
        <f>IF(HR_Data[[#This Row],[Age]]&lt;30,"Under 30",IF(HR_Data[[#This Row],[Age]]&lt;=40,"30-40",IF(HR_Data[[#This Row],[Age]]&lt;=50,"41-50","50+")))</f>
        <v>41-50</v>
      </c>
      <c r="AK1358" t="str">
        <f>IF(HR_Data[[#This Row],[MonthlyIncome]]&lt;4000,"Low",IF(HR_Data[[#This Row],[MonthlyIncome]]&lt;=7000,"Medium","High"))</f>
        <v>Medium</v>
      </c>
      <c r="AL135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59" spans="1:38" hidden="1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tr">
        <f>IF(HR_Data[[#This Row],[Age]]&lt;30,"Under 30",IF(HR_Data[[#This Row],[Age]]&lt;=40,"30-40",IF(HR_Data[[#This Row],[Age]]&lt;=50,"41-50","50+")))</f>
        <v>41-50</v>
      </c>
      <c r="AK1359" t="str">
        <f>IF(HR_Data[[#This Row],[MonthlyIncome]]&lt;4000,"Low",IF(HR_Data[[#This Row],[MonthlyIncome]]&lt;=7000,"Medium","High"))</f>
        <v>High</v>
      </c>
      <c r="AL1359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360" spans="1:38" hidden="1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tr">
        <f>IF(HR_Data[[#This Row],[Age]]&lt;30,"Under 30",IF(HR_Data[[#This Row],[Age]]&lt;=40,"30-40",IF(HR_Data[[#This Row],[Age]]&lt;=50,"41-50","50+")))</f>
        <v>30-40</v>
      </c>
      <c r="AK1360" t="str">
        <f>IF(HR_Data[[#This Row],[MonthlyIncome]]&lt;4000,"Low",IF(HR_Data[[#This Row],[MonthlyIncome]]&lt;=7000,"Medium","High"))</f>
        <v>Medium</v>
      </c>
      <c r="AL136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61" spans="1:38" hidden="1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tr">
        <f>IF(HR_Data[[#This Row],[Age]]&lt;30,"Under 30",IF(HR_Data[[#This Row],[Age]]&lt;=40,"30-40",IF(HR_Data[[#This Row],[Age]]&lt;=50,"41-50","50+")))</f>
        <v>30-40</v>
      </c>
      <c r="AK1361" t="str">
        <f>IF(HR_Data[[#This Row],[MonthlyIncome]]&lt;4000,"Low",IF(HR_Data[[#This Row],[MonthlyIncome]]&lt;=7000,"Medium","High"))</f>
        <v>High</v>
      </c>
      <c r="AL136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62" spans="1:38" hidden="1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tr">
        <f>IF(HR_Data[[#This Row],[Age]]&lt;30,"Under 30",IF(HR_Data[[#This Row],[Age]]&lt;=40,"30-40",IF(HR_Data[[#This Row],[Age]]&lt;=50,"41-50","50+")))</f>
        <v>30-40</v>
      </c>
      <c r="AK1362" t="str">
        <f>IF(HR_Data[[#This Row],[MonthlyIncome]]&lt;4000,"Low",IF(HR_Data[[#This Row],[MonthlyIncome]]&lt;=7000,"Medium","High"))</f>
        <v>Low</v>
      </c>
      <c r="AL136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63" spans="1:38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tr">
        <f>IF(HR_Data[[#This Row],[Age]]&lt;30,"Under 30",IF(HR_Data[[#This Row],[Age]]&lt;=40,"30-40",IF(HR_Data[[#This Row],[Age]]&lt;=50,"41-50","50+")))</f>
        <v>Under 30</v>
      </c>
      <c r="AK1363" t="str">
        <f>IF(HR_Data[[#This Row],[MonthlyIncome]]&lt;4000,"Low",IF(HR_Data[[#This Row],[MonthlyIncome]]&lt;=7000,"Medium","High"))</f>
        <v>Low</v>
      </c>
      <c r="AL136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364" spans="1:38" hidden="1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tr">
        <f>IF(HR_Data[[#This Row],[Age]]&lt;30,"Under 30",IF(HR_Data[[#This Row],[Age]]&lt;=40,"30-40",IF(HR_Data[[#This Row],[Age]]&lt;=50,"41-50","50+")))</f>
        <v>41-50</v>
      </c>
      <c r="AK1364" t="str">
        <f>IF(HR_Data[[#This Row],[MonthlyIncome]]&lt;4000,"Low",IF(HR_Data[[#This Row],[MonthlyIncome]]&lt;=7000,"Medium","High"))</f>
        <v>Medium</v>
      </c>
      <c r="AL136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65" spans="1:38" hidden="1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tr">
        <f>IF(HR_Data[[#This Row],[Age]]&lt;30,"Under 30",IF(HR_Data[[#This Row],[Age]]&lt;=40,"30-40",IF(HR_Data[[#This Row],[Age]]&lt;=50,"41-50","50+")))</f>
        <v>30-40</v>
      </c>
      <c r="AK1365" t="str">
        <f>IF(HR_Data[[#This Row],[MonthlyIncome]]&lt;4000,"Low",IF(HR_Data[[#This Row],[MonthlyIncome]]&lt;=7000,"Medium","High"))</f>
        <v>Medium</v>
      </c>
      <c r="AL136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366" spans="1:38" hidden="1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tr">
        <f>IF(HR_Data[[#This Row],[Age]]&lt;30,"Under 30",IF(HR_Data[[#This Row],[Age]]&lt;=40,"30-40",IF(HR_Data[[#This Row],[Age]]&lt;=50,"41-50","50+")))</f>
        <v>Under 30</v>
      </c>
      <c r="AK1366" t="str">
        <f>IF(HR_Data[[#This Row],[MonthlyIncome]]&lt;4000,"Low",IF(HR_Data[[#This Row],[MonthlyIncome]]&lt;=7000,"Medium","High"))</f>
        <v>Medium</v>
      </c>
      <c r="AL136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367" spans="1:38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tr">
        <f>IF(HR_Data[[#This Row],[Age]]&lt;30,"Under 30",IF(HR_Data[[#This Row],[Age]]&lt;=40,"30-40",IF(HR_Data[[#This Row],[Age]]&lt;=50,"41-50","50+")))</f>
        <v>Under 30</v>
      </c>
      <c r="AK1367" t="str">
        <f>IF(HR_Data[[#This Row],[MonthlyIncome]]&lt;4000,"Low",IF(HR_Data[[#This Row],[MonthlyIncome]]&lt;=7000,"Medium","High"))</f>
        <v>Low</v>
      </c>
      <c r="AL1367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368" spans="1:38" hidden="1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tr">
        <f>IF(HR_Data[[#This Row],[Age]]&lt;30,"Under 30",IF(HR_Data[[#This Row],[Age]]&lt;=40,"30-40",IF(HR_Data[[#This Row],[Age]]&lt;=50,"41-50","50+")))</f>
        <v>30-40</v>
      </c>
      <c r="AK1368" t="str">
        <f>IF(HR_Data[[#This Row],[MonthlyIncome]]&lt;4000,"Low",IF(HR_Data[[#This Row],[MonthlyIncome]]&lt;=7000,"Medium","High"))</f>
        <v>Medium</v>
      </c>
      <c r="AL136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69" spans="1:38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tr">
        <f>IF(HR_Data[[#This Row],[Age]]&lt;30,"Under 30",IF(HR_Data[[#This Row],[Age]]&lt;=40,"30-40",IF(HR_Data[[#This Row],[Age]]&lt;=50,"41-50","50+")))</f>
        <v>Under 30</v>
      </c>
      <c r="AK1369" t="str">
        <f>IF(HR_Data[[#This Row],[MonthlyIncome]]&lt;4000,"Low",IF(HR_Data[[#This Row],[MonthlyIncome]]&lt;=7000,"Medium","High"))</f>
        <v>Low</v>
      </c>
      <c r="AL136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70" spans="1:38" hidden="1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tr">
        <f>IF(HR_Data[[#This Row],[Age]]&lt;30,"Under 30",IF(HR_Data[[#This Row],[Age]]&lt;=40,"30-40",IF(HR_Data[[#This Row],[Age]]&lt;=50,"41-50","50+")))</f>
        <v>30-40</v>
      </c>
      <c r="AK1370" t="str">
        <f>IF(HR_Data[[#This Row],[MonthlyIncome]]&lt;4000,"Low",IF(HR_Data[[#This Row],[MonthlyIncome]]&lt;=7000,"Medium","High"))</f>
        <v>Medium</v>
      </c>
      <c r="AL1370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371" spans="1:38" hidden="1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tr">
        <f>IF(HR_Data[[#This Row],[Age]]&lt;30,"Under 30",IF(HR_Data[[#This Row],[Age]]&lt;=40,"30-40",IF(HR_Data[[#This Row],[Age]]&lt;=50,"41-50","50+")))</f>
        <v>Under 30</v>
      </c>
      <c r="AK1371" t="str">
        <f>IF(HR_Data[[#This Row],[MonthlyIncome]]&lt;4000,"Low",IF(HR_Data[[#This Row],[MonthlyIncome]]&lt;=7000,"Medium","High"))</f>
        <v>High</v>
      </c>
      <c r="AL137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72" spans="1:38" hidden="1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tr">
        <f>IF(HR_Data[[#This Row],[Age]]&lt;30,"Under 30",IF(HR_Data[[#This Row],[Age]]&lt;=40,"30-40",IF(HR_Data[[#This Row],[Age]]&lt;=50,"41-50","50+")))</f>
        <v>41-50</v>
      </c>
      <c r="AK1372" t="str">
        <f>IF(HR_Data[[#This Row],[MonthlyIncome]]&lt;4000,"Low",IF(HR_Data[[#This Row],[MonthlyIncome]]&lt;=7000,"Medium","High"))</f>
        <v>Medium</v>
      </c>
      <c r="AL137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373" spans="1:38" hidden="1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tr">
        <f>IF(HR_Data[[#This Row],[Age]]&lt;30,"Under 30",IF(HR_Data[[#This Row],[Age]]&lt;=40,"30-40",IF(HR_Data[[#This Row],[Age]]&lt;=50,"41-50","50+")))</f>
        <v>50+</v>
      </c>
      <c r="AK1373" t="str">
        <f>IF(HR_Data[[#This Row],[MonthlyIncome]]&lt;4000,"Low",IF(HR_Data[[#This Row],[MonthlyIncome]]&lt;=7000,"Medium","High"))</f>
        <v>Medium</v>
      </c>
      <c r="AL1373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374" spans="1:38" hidden="1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tr">
        <f>IF(HR_Data[[#This Row],[Age]]&lt;30,"Under 30",IF(HR_Data[[#This Row],[Age]]&lt;=40,"30-40",IF(HR_Data[[#This Row],[Age]]&lt;=50,"41-50","50+")))</f>
        <v>30-40</v>
      </c>
      <c r="AK1374" t="str">
        <f>IF(HR_Data[[#This Row],[MonthlyIncome]]&lt;4000,"Low",IF(HR_Data[[#This Row],[MonthlyIncome]]&lt;=7000,"Medium","High"))</f>
        <v>Medium</v>
      </c>
      <c r="AL137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375" spans="1:38" hidden="1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tr">
        <f>IF(HR_Data[[#This Row],[Age]]&lt;30,"Under 30",IF(HR_Data[[#This Row],[Age]]&lt;=40,"30-40",IF(HR_Data[[#This Row],[Age]]&lt;=50,"41-50","50+")))</f>
        <v>30-40</v>
      </c>
      <c r="AK1375" t="str">
        <f>IF(HR_Data[[#This Row],[MonthlyIncome]]&lt;4000,"Low",IF(HR_Data[[#This Row],[MonthlyIncome]]&lt;=7000,"Medium","High"))</f>
        <v>Low</v>
      </c>
      <c r="AL1375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376" spans="1:38" hidden="1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tr">
        <f>IF(HR_Data[[#This Row],[Age]]&lt;30,"Under 30",IF(HR_Data[[#This Row],[Age]]&lt;=40,"30-40",IF(HR_Data[[#This Row],[Age]]&lt;=50,"41-50","50+")))</f>
        <v>50+</v>
      </c>
      <c r="AK1376" t="str">
        <f>IF(HR_Data[[#This Row],[MonthlyIncome]]&lt;4000,"Low",IF(HR_Data[[#This Row],[MonthlyIncome]]&lt;=7000,"Medium","High"))</f>
        <v>High</v>
      </c>
      <c r="AL1376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377" spans="1:38" hidden="1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tr">
        <f>IF(HR_Data[[#This Row],[Age]]&lt;30,"Under 30",IF(HR_Data[[#This Row],[Age]]&lt;=40,"30-40",IF(HR_Data[[#This Row],[Age]]&lt;=50,"41-50","50+")))</f>
        <v>30-40</v>
      </c>
      <c r="AK1377" t="str">
        <f>IF(HR_Data[[#This Row],[MonthlyIncome]]&lt;4000,"Low",IF(HR_Data[[#This Row],[MonthlyIncome]]&lt;=7000,"Medium","High"))</f>
        <v>Low</v>
      </c>
      <c r="AL137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78" spans="1:38" hidden="1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tr">
        <f>IF(HR_Data[[#This Row],[Age]]&lt;30,"Under 30",IF(HR_Data[[#This Row],[Age]]&lt;=40,"30-40",IF(HR_Data[[#This Row],[Age]]&lt;=50,"41-50","50+")))</f>
        <v>30-40</v>
      </c>
      <c r="AK1378" t="str">
        <f>IF(HR_Data[[#This Row],[MonthlyIncome]]&lt;4000,"Low",IF(HR_Data[[#This Row],[MonthlyIncome]]&lt;=7000,"Medium","High"))</f>
        <v>Medium</v>
      </c>
      <c r="AL137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79" spans="1:38" hidden="1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tr">
        <f>IF(HR_Data[[#This Row],[Age]]&lt;30,"Under 30",IF(HR_Data[[#This Row],[Age]]&lt;=40,"30-40",IF(HR_Data[[#This Row],[Age]]&lt;=50,"41-50","50+")))</f>
        <v>41-50</v>
      </c>
      <c r="AK1379" t="str">
        <f>IF(HR_Data[[#This Row],[MonthlyIncome]]&lt;4000,"Low",IF(HR_Data[[#This Row],[MonthlyIncome]]&lt;=7000,"Medium","High"))</f>
        <v>High</v>
      </c>
      <c r="AL137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80" spans="1:38" hidden="1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tr">
        <f>IF(HR_Data[[#This Row],[Age]]&lt;30,"Under 30",IF(HR_Data[[#This Row],[Age]]&lt;=40,"30-40",IF(HR_Data[[#This Row],[Age]]&lt;=50,"41-50","50+")))</f>
        <v>41-50</v>
      </c>
      <c r="AK1380" t="str">
        <f>IF(HR_Data[[#This Row],[MonthlyIncome]]&lt;4000,"Low",IF(HR_Data[[#This Row],[MonthlyIncome]]&lt;=7000,"Medium","High"))</f>
        <v>Medium</v>
      </c>
      <c r="AL1380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381" spans="1:38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tr">
        <f>IF(HR_Data[[#This Row],[Age]]&lt;30,"Under 30",IF(HR_Data[[#This Row],[Age]]&lt;=40,"30-40",IF(HR_Data[[#This Row],[Age]]&lt;=50,"41-50","50+")))</f>
        <v>Under 30</v>
      </c>
      <c r="AK1381" t="str">
        <f>IF(HR_Data[[#This Row],[MonthlyIncome]]&lt;4000,"Low",IF(HR_Data[[#This Row],[MonthlyIncome]]&lt;=7000,"Medium","High"))</f>
        <v>Low</v>
      </c>
      <c r="AL1381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382" spans="1:38" hidden="1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tr">
        <f>IF(HR_Data[[#This Row],[Age]]&lt;30,"Under 30",IF(HR_Data[[#This Row],[Age]]&lt;=40,"30-40",IF(HR_Data[[#This Row],[Age]]&lt;=50,"41-50","50+")))</f>
        <v>30-40</v>
      </c>
      <c r="AK1382" t="str">
        <f>IF(HR_Data[[#This Row],[MonthlyIncome]]&lt;4000,"Low",IF(HR_Data[[#This Row],[MonthlyIncome]]&lt;=7000,"Medium","High"))</f>
        <v>Medium</v>
      </c>
      <c r="AL138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83" spans="1:38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tr">
        <f>IF(HR_Data[[#This Row],[Age]]&lt;30,"Under 30",IF(HR_Data[[#This Row],[Age]]&lt;=40,"30-40",IF(HR_Data[[#This Row],[Age]]&lt;=50,"41-50","50+")))</f>
        <v>Under 30</v>
      </c>
      <c r="AK1383" t="str">
        <f>IF(HR_Data[[#This Row],[MonthlyIncome]]&lt;4000,"Low",IF(HR_Data[[#This Row],[MonthlyIncome]]&lt;=7000,"Medium","High"))</f>
        <v>Low</v>
      </c>
      <c r="AL138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84" spans="1:38" hidden="1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tr">
        <f>IF(HR_Data[[#This Row],[Age]]&lt;30,"Under 30",IF(HR_Data[[#This Row],[Age]]&lt;=40,"30-40",IF(HR_Data[[#This Row],[Age]]&lt;=50,"41-50","50+")))</f>
        <v>30-40</v>
      </c>
      <c r="AK1384" t="str">
        <f>IF(HR_Data[[#This Row],[MonthlyIncome]]&lt;4000,"Low",IF(HR_Data[[#This Row],[MonthlyIncome]]&lt;=7000,"Medium","High"))</f>
        <v>Low</v>
      </c>
      <c r="AL138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85" spans="1:38" hidden="1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tr">
        <f>IF(HR_Data[[#This Row],[Age]]&lt;30,"Under 30",IF(HR_Data[[#This Row],[Age]]&lt;=40,"30-40",IF(HR_Data[[#This Row],[Age]]&lt;=50,"41-50","50+")))</f>
        <v>30-40</v>
      </c>
      <c r="AK1385" t="str">
        <f>IF(HR_Data[[#This Row],[MonthlyIncome]]&lt;4000,"Low",IF(HR_Data[[#This Row],[MonthlyIncome]]&lt;=7000,"Medium","High"))</f>
        <v>Low</v>
      </c>
      <c r="AL138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86" spans="1:38" hidden="1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tr">
        <f>IF(HR_Data[[#This Row],[Age]]&lt;30,"Under 30",IF(HR_Data[[#This Row],[Age]]&lt;=40,"30-40",IF(HR_Data[[#This Row],[Age]]&lt;=50,"41-50","50+")))</f>
        <v>30-40</v>
      </c>
      <c r="AK1386" t="str">
        <f>IF(HR_Data[[#This Row],[MonthlyIncome]]&lt;4000,"Low",IF(HR_Data[[#This Row],[MonthlyIncome]]&lt;=7000,"Medium","High"))</f>
        <v>High</v>
      </c>
      <c r="AL1386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387" spans="1:38" hidden="1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tr">
        <f>IF(HR_Data[[#This Row],[Age]]&lt;30,"Under 30",IF(HR_Data[[#This Row],[Age]]&lt;=40,"30-40",IF(HR_Data[[#This Row],[Age]]&lt;=50,"41-50","50+")))</f>
        <v>30-40</v>
      </c>
      <c r="AK1387" t="str">
        <f>IF(HR_Data[[#This Row],[MonthlyIncome]]&lt;4000,"Low",IF(HR_Data[[#This Row],[MonthlyIncome]]&lt;=7000,"Medium","High"))</f>
        <v>High</v>
      </c>
      <c r="AL138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388" spans="1:38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tr">
        <f>IF(HR_Data[[#This Row],[Age]]&lt;30,"Under 30",IF(HR_Data[[#This Row],[Age]]&lt;=40,"30-40",IF(HR_Data[[#This Row],[Age]]&lt;=50,"41-50","50+")))</f>
        <v>Under 30</v>
      </c>
      <c r="AK1388" t="str">
        <f>IF(HR_Data[[#This Row],[MonthlyIncome]]&lt;4000,"Low",IF(HR_Data[[#This Row],[MonthlyIncome]]&lt;=7000,"Medium","High"))</f>
        <v>Low</v>
      </c>
      <c r="AL138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389" spans="1:38" hidden="1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tr">
        <f>IF(HR_Data[[#This Row],[Age]]&lt;30,"Under 30",IF(HR_Data[[#This Row],[Age]]&lt;=40,"30-40",IF(HR_Data[[#This Row],[Age]]&lt;=50,"41-50","50+")))</f>
        <v>Under 30</v>
      </c>
      <c r="AK1389" t="str">
        <f>IF(HR_Data[[#This Row],[MonthlyIncome]]&lt;4000,"Low",IF(HR_Data[[#This Row],[MonthlyIncome]]&lt;=7000,"Medium","High"))</f>
        <v>Medium</v>
      </c>
      <c r="AL138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90" spans="1:38" hidden="1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tr">
        <f>IF(HR_Data[[#This Row],[Age]]&lt;30,"Under 30",IF(HR_Data[[#This Row],[Age]]&lt;=40,"30-40",IF(HR_Data[[#This Row],[Age]]&lt;=50,"41-50","50+")))</f>
        <v>30-40</v>
      </c>
      <c r="AK1390" t="str">
        <f>IF(HR_Data[[#This Row],[MonthlyIncome]]&lt;4000,"Low",IF(HR_Data[[#This Row],[MonthlyIncome]]&lt;=7000,"Medium","High"))</f>
        <v>Medium</v>
      </c>
      <c r="AL139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91" spans="1:38" hidden="1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tr">
        <f>IF(HR_Data[[#This Row],[Age]]&lt;30,"Under 30",IF(HR_Data[[#This Row],[Age]]&lt;=40,"30-40",IF(HR_Data[[#This Row],[Age]]&lt;=50,"41-50","50+")))</f>
        <v>30-40</v>
      </c>
      <c r="AK1391" t="str">
        <f>IF(HR_Data[[#This Row],[MonthlyIncome]]&lt;4000,"Low",IF(HR_Data[[#This Row],[MonthlyIncome]]&lt;=7000,"Medium","High"))</f>
        <v>Medium</v>
      </c>
      <c r="AL139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392" spans="1:38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tr">
        <f>IF(HR_Data[[#This Row],[Age]]&lt;30,"Under 30",IF(HR_Data[[#This Row],[Age]]&lt;=40,"30-40",IF(HR_Data[[#This Row],[Age]]&lt;=50,"41-50","50+")))</f>
        <v>Under 30</v>
      </c>
      <c r="AK1392" t="str">
        <f>IF(HR_Data[[#This Row],[MonthlyIncome]]&lt;4000,"Low",IF(HR_Data[[#This Row],[MonthlyIncome]]&lt;=7000,"Medium","High"))</f>
        <v>Low</v>
      </c>
      <c r="AL139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93" spans="1:38" hidden="1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tr">
        <f>IF(HR_Data[[#This Row],[Age]]&lt;30,"Under 30",IF(HR_Data[[#This Row],[Age]]&lt;=40,"30-40",IF(HR_Data[[#This Row],[Age]]&lt;=50,"41-50","50+")))</f>
        <v>30-40</v>
      </c>
      <c r="AK1393" t="str">
        <f>IF(HR_Data[[#This Row],[MonthlyIncome]]&lt;4000,"Low",IF(HR_Data[[#This Row],[MonthlyIncome]]&lt;=7000,"Medium","High"))</f>
        <v>Low</v>
      </c>
      <c r="AL1393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394" spans="1:38" hidden="1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tr">
        <f>IF(HR_Data[[#This Row],[Age]]&lt;30,"Under 30",IF(HR_Data[[#This Row],[Age]]&lt;=40,"30-40",IF(HR_Data[[#This Row],[Age]]&lt;=50,"41-50","50+")))</f>
        <v>30-40</v>
      </c>
      <c r="AK1394" t="str">
        <f>IF(HR_Data[[#This Row],[MonthlyIncome]]&lt;4000,"Low",IF(HR_Data[[#This Row],[MonthlyIncome]]&lt;=7000,"Medium","High"))</f>
        <v>Medium</v>
      </c>
      <c r="AL139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395" spans="1:38" hidden="1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tr">
        <f>IF(HR_Data[[#This Row],[Age]]&lt;30,"Under 30",IF(HR_Data[[#This Row],[Age]]&lt;=40,"30-40",IF(HR_Data[[#This Row],[Age]]&lt;=50,"41-50","50+")))</f>
        <v>Under 30</v>
      </c>
      <c r="AK1395" t="str">
        <f>IF(HR_Data[[#This Row],[MonthlyIncome]]&lt;4000,"Low",IF(HR_Data[[#This Row],[MonthlyIncome]]&lt;=7000,"Medium","High"))</f>
        <v>Medium</v>
      </c>
      <c r="AL139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396" spans="1:38" hidden="1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tr">
        <f>IF(HR_Data[[#This Row],[Age]]&lt;30,"Under 30",IF(HR_Data[[#This Row],[Age]]&lt;=40,"30-40",IF(HR_Data[[#This Row],[Age]]&lt;=50,"41-50","50+")))</f>
        <v>30-40</v>
      </c>
      <c r="AK1396" t="str">
        <f>IF(HR_Data[[#This Row],[MonthlyIncome]]&lt;4000,"Low",IF(HR_Data[[#This Row],[MonthlyIncome]]&lt;=7000,"Medium","High"))</f>
        <v>High</v>
      </c>
      <c r="AL1396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397" spans="1:38" hidden="1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tr">
        <f>IF(HR_Data[[#This Row],[Age]]&lt;30,"Under 30",IF(HR_Data[[#This Row],[Age]]&lt;=40,"30-40",IF(HR_Data[[#This Row],[Age]]&lt;=50,"41-50","50+")))</f>
        <v>30-40</v>
      </c>
      <c r="AK1397" t="str">
        <f>IF(HR_Data[[#This Row],[MonthlyIncome]]&lt;4000,"Low",IF(HR_Data[[#This Row],[MonthlyIncome]]&lt;=7000,"Medium","High"))</f>
        <v>Medium</v>
      </c>
      <c r="AL139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398" spans="1:38" hidden="1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tr">
        <f>IF(HR_Data[[#This Row],[Age]]&lt;30,"Under 30",IF(HR_Data[[#This Row],[Age]]&lt;=40,"30-40",IF(HR_Data[[#This Row],[Age]]&lt;=50,"41-50","50+")))</f>
        <v>50+</v>
      </c>
      <c r="AK1398" t="str">
        <f>IF(HR_Data[[#This Row],[MonthlyIncome]]&lt;4000,"Low",IF(HR_Data[[#This Row],[MonthlyIncome]]&lt;=7000,"Medium","High"))</f>
        <v>High</v>
      </c>
      <c r="AL139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399" spans="1:38" hidden="1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tr">
        <f>IF(HR_Data[[#This Row],[Age]]&lt;30,"Under 30",IF(HR_Data[[#This Row],[Age]]&lt;=40,"30-40",IF(HR_Data[[#This Row],[Age]]&lt;=50,"41-50","50+")))</f>
        <v>50+</v>
      </c>
      <c r="AK1399" t="str">
        <f>IF(HR_Data[[#This Row],[MonthlyIncome]]&lt;4000,"Low",IF(HR_Data[[#This Row],[MonthlyIncome]]&lt;=7000,"Medium","High"))</f>
        <v>Low</v>
      </c>
      <c r="AL139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400" spans="1:38" hidden="1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tr">
        <f>IF(HR_Data[[#This Row],[Age]]&lt;30,"Under 30",IF(HR_Data[[#This Row],[Age]]&lt;=40,"30-40",IF(HR_Data[[#This Row],[Age]]&lt;=50,"41-50","50+")))</f>
        <v>30-40</v>
      </c>
      <c r="AK1400" t="str">
        <f>IF(HR_Data[[#This Row],[MonthlyIncome]]&lt;4000,"Low",IF(HR_Data[[#This Row],[MonthlyIncome]]&lt;=7000,"Medium","High"))</f>
        <v>Medium</v>
      </c>
      <c r="AL140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401" spans="1:38" hidden="1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tr">
        <f>IF(HR_Data[[#This Row],[Age]]&lt;30,"Under 30",IF(HR_Data[[#This Row],[Age]]&lt;=40,"30-40",IF(HR_Data[[#This Row],[Age]]&lt;=50,"41-50","50+")))</f>
        <v>41-50</v>
      </c>
      <c r="AK1401" t="str">
        <f>IF(HR_Data[[#This Row],[MonthlyIncome]]&lt;4000,"Low",IF(HR_Data[[#This Row],[MonthlyIncome]]&lt;=7000,"Medium","High"))</f>
        <v>High</v>
      </c>
      <c r="AL140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402" spans="1:38" hidden="1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tr">
        <f>IF(HR_Data[[#This Row],[Age]]&lt;30,"Under 30",IF(HR_Data[[#This Row],[Age]]&lt;=40,"30-40",IF(HR_Data[[#This Row],[Age]]&lt;=50,"41-50","50+")))</f>
        <v>30-40</v>
      </c>
      <c r="AK1402" t="str">
        <f>IF(HR_Data[[#This Row],[MonthlyIncome]]&lt;4000,"Low",IF(HR_Data[[#This Row],[MonthlyIncome]]&lt;=7000,"Medium","High"))</f>
        <v>Low</v>
      </c>
      <c r="AL140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403" spans="1:38" hidden="1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tr">
        <f>IF(HR_Data[[#This Row],[Age]]&lt;30,"Under 30",IF(HR_Data[[#This Row],[Age]]&lt;=40,"30-40",IF(HR_Data[[#This Row],[Age]]&lt;=50,"41-50","50+")))</f>
        <v>50+</v>
      </c>
      <c r="AK1403" t="str">
        <f>IF(HR_Data[[#This Row],[MonthlyIncome]]&lt;4000,"Low",IF(HR_Data[[#This Row],[MonthlyIncome]]&lt;=7000,"Medium","High"))</f>
        <v>High</v>
      </c>
      <c r="AL140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404" spans="1:38" hidden="1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tr">
        <f>IF(HR_Data[[#This Row],[Age]]&lt;30,"Under 30",IF(HR_Data[[#This Row],[Age]]&lt;=40,"30-40",IF(HR_Data[[#This Row],[Age]]&lt;=50,"41-50","50+")))</f>
        <v>30-40</v>
      </c>
      <c r="AK1404" t="str">
        <f>IF(HR_Data[[#This Row],[MonthlyIncome]]&lt;4000,"Low",IF(HR_Data[[#This Row],[MonthlyIncome]]&lt;=7000,"Medium","High"))</f>
        <v>Low</v>
      </c>
      <c r="AL1404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405" spans="1:38" hidden="1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tr">
        <f>IF(HR_Data[[#This Row],[Age]]&lt;30,"Under 30",IF(HR_Data[[#This Row],[Age]]&lt;=40,"30-40",IF(HR_Data[[#This Row],[Age]]&lt;=50,"41-50","50+")))</f>
        <v>30-40</v>
      </c>
      <c r="AK1405" t="str">
        <f>IF(HR_Data[[#This Row],[MonthlyIncome]]&lt;4000,"Low",IF(HR_Data[[#This Row],[MonthlyIncome]]&lt;=7000,"Medium","High"))</f>
        <v>High</v>
      </c>
      <c r="AL1405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406" spans="1:38" hidden="1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tr">
        <f>IF(HR_Data[[#This Row],[Age]]&lt;30,"Under 30",IF(HR_Data[[#This Row],[Age]]&lt;=40,"30-40",IF(HR_Data[[#This Row],[Age]]&lt;=50,"41-50","50+")))</f>
        <v>41-50</v>
      </c>
      <c r="AK1406" t="str">
        <f>IF(HR_Data[[#This Row],[MonthlyIncome]]&lt;4000,"Low",IF(HR_Data[[#This Row],[MonthlyIncome]]&lt;=7000,"Medium","High"))</f>
        <v>Medium</v>
      </c>
      <c r="AL1406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407" spans="1:38" hidden="1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tr">
        <f>IF(HR_Data[[#This Row],[Age]]&lt;30,"Under 30",IF(HR_Data[[#This Row],[Age]]&lt;=40,"30-40",IF(HR_Data[[#This Row],[Age]]&lt;=50,"41-50","50+")))</f>
        <v>30-40</v>
      </c>
      <c r="AK1407" t="str">
        <f>IF(HR_Data[[#This Row],[MonthlyIncome]]&lt;4000,"Low",IF(HR_Data[[#This Row],[MonthlyIncome]]&lt;=7000,"Medium","High"))</f>
        <v>High</v>
      </c>
      <c r="AL1407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408" spans="1:38" hidden="1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tr">
        <f>IF(HR_Data[[#This Row],[Age]]&lt;30,"Under 30",IF(HR_Data[[#This Row],[Age]]&lt;=40,"30-40",IF(HR_Data[[#This Row],[Age]]&lt;=50,"41-50","50+")))</f>
        <v>50+</v>
      </c>
      <c r="AK1408" t="str">
        <f>IF(HR_Data[[#This Row],[MonthlyIncome]]&lt;4000,"Low",IF(HR_Data[[#This Row],[MonthlyIncome]]&lt;=7000,"Medium","High"))</f>
        <v>Medium</v>
      </c>
      <c r="AL140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409" spans="1:38" hidden="1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tr">
        <f>IF(HR_Data[[#This Row],[Age]]&lt;30,"Under 30",IF(HR_Data[[#This Row],[Age]]&lt;=40,"30-40",IF(HR_Data[[#This Row],[Age]]&lt;=50,"41-50","50+")))</f>
        <v>Under 30</v>
      </c>
      <c r="AK1409" t="str">
        <f>IF(HR_Data[[#This Row],[MonthlyIncome]]&lt;4000,"Low",IF(HR_Data[[#This Row],[MonthlyIncome]]&lt;=7000,"Medium","High"))</f>
        <v>Medium</v>
      </c>
      <c r="AL140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410" spans="1:38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tr">
        <f>IF(HR_Data[[#This Row],[Age]]&lt;30,"Under 30",IF(HR_Data[[#This Row],[Age]]&lt;=40,"30-40",IF(HR_Data[[#This Row],[Age]]&lt;=50,"41-50","50+")))</f>
        <v>Under 30</v>
      </c>
      <c r="AK1410" t="str">
        <f>IF(HR_Data[[#This Row],[MonthlyIncome]]&lt;4000,"Low",IF(HR_Data[[#This Row],[MonthlyIncome]]&lt;=7000,"Medium","High"))</f>
        <v>Low</v>
      </c>
      <c r="AL141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411" spans="1:38" hidden="1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tr">
        <f>IF(HR_Data[[#This Row],[Age]]&lt;30,"Under 30",IF(HR_Data[[#This Row],[Age]]&lt;=40,"30-40",IF(HR_Data[[#This Row],[Age]]&lt;=50,"41-50","50+")))</f>
        <v>30-40</v>
      </c>
      <c r="AK1411" t="str">
        <f>IF(HR_Data[[#This Row],[MonthlyIncome]]&lt;4000,"Low",IF(HR_Data[[#This Row],[MonthlyIncome]]&lt;=7000,"Medium","High"))</f>
        <v>Medium</v>
      </c>
      <c r="AL141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412" spans="1:38" hidden="1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tr">
        <f>IF(HR_Data[[#This Row],[Age]]&lt;30,"Under 30",IF(HR_Data[[#This Row],[Age]]&lt;=40,"30-40",IF(HR_Data[[#This Row],[Age]]&lt;=50,"41-50","50+")))</f>
        <v>30-40</v>
      </c>
      <c r="AK1412" t="str">
        <f>IF(HR_Data[[#This Row],[MonthlyIncome]]&lt;4000,"Low",IF(HR_Data[[#This Row],[MonthlyIncome]]&lt;=7000,"Medium","High"))</f>
        <v>Medium</v>
      </c>
      <c r="AL1412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413" spans="1:38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tr">
        <f>IF(HR_Data[[#This Row],[Age]]&lt;30,"Under 30",IF(HR_Data[[#This Row],[Age]]&lt;=40,"30-40",IF(HR_Data[[#This Row],[Age]]&lt;=50,"41-50","50+")))</f>
        <v>Under 30</v>
      </c>
      <c r="AK1413" t="str">
        <f>IF(HR_Data[[#This Row],[MonthlyIncome]]&lt;4000,"Low",IF(HR_Data[[#This Row],[MonthlyIncome]]&lt;=7000,"Medium","High"))</f>
        <v>Low</v>
      </c>
      <c r="AL141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414" spans="1:38" hidden="1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tr">
        <f>IF(HR_Data[[#This Row],[Age]]&lt;30,"Under 30",IF(HR_Data[[#This Row],[Age]]&lt;=40,"30-40",IF(HR_Data[[#This Row],[Age]]&lt;=50,"41-50","50+")))</f>
        <v>30-40</v>
      </c>
      <c r="AK1414" t="str">
        <f>IF(HR_Data[[#This Row],[MonthlyIncome]]&lt;4000,"Low",IF(HR_Data[[#This Row],[MonthlyIncome]]&lt;=7000,"Medium","High"))</f>
        <v>Low</v>
      </c>
      <c r="AL1414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415" spans="1:38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tr">
        <f>IF(HR_Data[[#This Row],[Age]]&lt;30,"Under 30",IF(HR_Data[[#This Row],[Age]]&lt;=40,"30-40",IF(HR_Data[[#This Row],[Age]]&lt;=50,"41-50","50+")))</f>
        <v>Under 30</v>
      </c>
      <c r="AK1415" t="str">
        <f>IF(HR_Data[[#This Row],[MonthlyIncome]]&lt;4000,"Low",IF(HR_Data[[#This Row],[MonthlyIncome]]&lt;=7000,"Medium","High"))</f>
        <v>Low</v>
      </c>
      <c r="AL141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416" spans="1:38" hidden="1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tr">
        <f>IF(HR_Data[[#This Row],[Age]]&lt;30,"Under 30",IF(HR_Data[[#This Row],[Age]]&lt;=40,"30-40",IF(HR_Data[[#This Row],[Age]]&lt;=50,"41-50","50+")))</f>
        <v>41-50</v>
      </c>
      <c r="AK1416" t="str">
        <f>IF(HR_Data[[#This Row],[MonthlyIncome]]&lt;4000,"Low",IF(HR_Data[[#This Row],[MonthlyIncome]]&lt;=7000,"Medium","High"))</f>
        <v>High</v>
      </c>
      <c r="AL1416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417" spans="1:38" hidden="1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tr">
        <f>IF(HR_Data[[#This Row],[Age]]&lt;30,"Under 30",IF(HR_Data[[#This Row],[Age]]&lt;=40,"30-40",IF(HR_Data[[#This Row],[Age]]&lt;=50,"41-50","50+")))</f>
        <v>30-40</v>
      </c>
      <c r="AK1417" t="str">
        <f>IF(HR_Data[[#This Row],[MonthlyIncome]]&lt;4000,"Low",IF(HR_Data[[#This Row],[MonthlyIncome]]&lt;=7000,"Medium","High"))</f>
        <v>Low</v>
      </c>
      <c r="AL1417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418" spans="1:38" hidden="1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tr">
        <f>IF(HR_Data[[#This Row],[Age]]&lt;30,"Under 30",IF(HR_Data[[#This Row],[Age]]&lt;=40,"30-40",IF(HR_Data[[#This Row],[Age]]&lt;=50,"41-50","50+")))</f>
        <v>30-40</v>
      </c>
      <c r="AK1418" t="str">
        <f>IF(HR_Data[[#This Row],[MonthlyIncome]]&lt;4000,"Low",IF(HR_Data[[#This Row],[MonthlyIncome]]&lt;=7000,"Medium","High"))</f>
        <v>Medium</v>
      </c>
      <c r="AL1418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419" spans="1:38" hidden="1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tr">
        <f>IF(HR_Data[[#This Row],[Age]]&lt;30,"Under 30",IF(HR_Data[[#This Row],[Age]]&lt;=40,"30-40",IF(HR_Data[[#This Row],[Age]]&lt;=50,"41-50","50+")))</f>
        <v>30-40</v>
      </c>
      <c r="AK1419" t="str">
        <f>IF(HR_Data[[#This Row],[MonthlyIncome]]&lt;4000,"Low",IF(HR_Data[[#This Row],[MonthlyIncome]]&lt;=7000,"Medium","High"))</f>
        <v>Low</v>
      </c>
      <c r="AL141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420" spans="1:38" hidden="1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tr">
        <f>IF(HR_Data[[#This Row],[Age]]&lt;30,"Under 30",IF(HR_Data[[#This Row],[Age]]&lt;=40,"30-40",IF(HR_Data[[#This Row],[Age]]&lt;=50,"41-50","50+")))</f>
        <v>30-40</v>
      </c>
      <c r="AK1420" t="str">
        <f>IF(HR_Data[[#This Row],[MonthlyIncome]]&lt;4000,"Low",IF(HR_Data[[#This Row],[MonthlyIncome]]&lt;=7000,"Medium","High"))</f>
        <v>Medium</v>
      </c>
      <c r="AL142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421" spans="1:38" hidden="1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tr">
        <f>IF(HR_Data[[#This Row],[Age]]&lt;30,"Under 30",IF(HR_Data[[#This Row],[Age]]&lt;=40,"30-40",IF(HR_Data[[#This Row],[Age]]&lt;=50,"41-50","50+")))</f>
        <v>41-50</v>
      </c>
      <c r="AK1421" t="str">
        <f>IF(HR_Data[[#This Row],[MonthlyIncome]]&lt;4000,"Low",IF(HR_Data[[#This Row],[MonthlyIncome]]&lt;=7000,"Medium","High"))</f>
        <v>Medium</v>
      </c>
      <c r="AL142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422" spans="1:38" hidden="1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tr">
        <f>IF(HR_Data[[#This Row],[Age]]&lt;30,"Under 30",IF(HR_Data[[#This Row],[Age]]&lt;=40,"30-40",IF(HR_Data[[#This Row],[Age]]&lt;=50,"41-50","50+")))</f>
        <v>41-50</v>
      </c>
      <c r="AK1422" t="str">
        <f>IF(HR_Data[[#This Row],[MonthlyIncome]]&lt;4000,"Low",IF(HR_Data[[#This Row],[MonthlyIncome]]&lt;=7000,"Medium","High"))</f>
        <v>Low</v>
      </c>
      <c r="AL142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423" spans="1:38" hidden="1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tr">
        <f>IF(HR_Data[[#This Row],[Age]]&lt;30,"Under 30",IF(HR_Data[[#This Row],[Age]]&lt;=40,"30-40",IF(HR_Data[[#This Row],[Age]]&lt;=50,"41-50","50+")))</f>
        <v>41-50</v>
      </c>
      <c r="AK1423" t="str">
        <f>IF(HR_Data[[#This Row],[MonthlyIncome]]&lt;4000,"Low",IF(HR_Data[[#This Row],[MonthlyIncome]]&lt;=7000,"Medium","High"))</f>
        <v>High</v>
      </c>
      <c r="AL1423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424" spans="1:38" hidden="1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tr">
        <f>IF(HR_Data[[#This Row],[Age]]&lt;30,"Under 30",IF(HR_Data[[#This Row],[Age]]&lt;=40,"30-40",IF(HR_Data[[#This Row],[Age]]&lt;=50,"41-50","50+")))</f>
        <v>30-40</v>
      </c>
      <c r="AK1424" t="str">
        <f>IF(HR_Data[[#This Row],[MonthlyIncome]]&lt;4000,"Low",IF(HR_Data[[#This Row],[MonthlyIncome]]&lt;=7000,"Medium","High"))</f>
        <v>Low</v>
      </c>
      <c r="AL142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425" spans="1:38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tr">
        <f>IF(HR_Data[[#This Row],[Age]]&lt;30,"Under 30",IF(HR_Data[[#This Row],[Age]]&lt;=40,"30-40",IF(HR_Data[[#This Row],[Age]]&lt;=50,"41-50","50+")))</f>
        <v>Under 30</v>
      </c>
      <c r="AK1425" t="str">
        <f>IF(HR_Data[[#This Row],[MonthlyIncome]]&lt;4000,"Low",IF(HR_Data[[#This Row],[MonthlyIncome]]&lt;=7000,"Medium","High"))</f>
        <v>Low</v>
      </c>
      <c r="AL142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426" spans="1:38" hidden="1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tr">
        <f>IF(HR_Data[[#This Row],[Age]]&lt;30,"Under 30",IF(HR_Data[[#This Row],[Age]]&lt;=40,"30-40",IF(HR_Data[[#This Row],[Age]]&lt;=50,"41-50","50+")))</f>
        <v>30-40</v>
      </c>
      <c r="AK1426" t="str">
        <f>IF(HR_Data[[#This Row],[MonthlyIncome]]&lt;4000,"Low",IF(HR_Data[[#This Row],[MonthlyIncome]]&lt;=7000,"Medium","High"))</f>
        <v>Medium</v>
      </c>
      <c r="AL142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427" spans="1:38" hidden="1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tr">
        <f>IF(HR_Data[[#This Row],[Age]]&lt;30,"Under 30",IF(HR_Data[[#This Row],[Age]]&lt;=40,"30-40",IF(HR_Data[[#This Row],[Age]]&lt;=50,"41-50","50+")))</f>
        <v>30-40</v>
      </c>
      <c r="AK1427" t="str">
        <f>IF(HR_Data[[#This Row],[MonthlyIncome]]&lt;4000,"Low",IF(HR_Data[[#This Row],[MonthlyIncome]]&lt;=7000,"Medium","High"))</f>
        <v>Medium</v>
      </c>
      <c r="AL1427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428" spans="1:38" hidden="1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tr">
        <f>IF(HR_Data[[#This Row],[Age]]&lt;30,"Under 30",IF(HR_Data[[#This Row],[Age]]&lt;=40,"30-40",IF(HR_Data[[#This Row],[Age]]&lt;=50,"41-50","50+")))</f>
        <v>30-40</v>
      </c>
      <c r="AK1428" t="str">
        <f>IF(HR_Data[[#This Row],[MonthlyIncome]]&lt;4000,"Low",IF(HR_Data[[#This Row],[MonthlyIncome]]&lt;=7000,"Medium","High"))</f>
        <v>Low</v>
      </c>
      <c r="AL142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429" spans="1:38" hidden="1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tr">
        <f>IF(HR_Data[[#This Row],[Age]]&lt;30,"Under 30",IF(HR_Data[[#This Row],[Age]]&lt;=40,"30-40",IF(HR_Data[[#This Row],[Age]]&lt;=50,"41-50","50+")))</f>
        <v>30-40</v>
      </c>
      <c r="AK1429" t="str">
        <f>IF(HR_Data[[#This Row],[MonthlyIncome]]&lt;4000,"Low",IF(HR_Data[[#This Row],[MonthlyIncome]]&lt;=7000,"Medium","High"))</f>
        <v>Low</v>
      </c>
      <c r="AL1429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430" spans="1:38" hidden="1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tr">
        <f>IF(HR_Data[[#This Row],[Age]]&lt;30,"Under 30",IF(HR_Data[[#This Row],[Age]]&lt;=40,"30-40",IF(HR_Data[[#This Row],[Age]]&lt;=50,"41-50","50+")))</f>
        <v>30-40</v>
      </c>
      <c r="AK1430" t="str">
        <f>IF(HR_Data[[#This Row],[MonthlyIncome]]&lt;4000,"Low",IF(HR_Data[[#This Row],[MonthlyIncome]]&lt;=7000,"Medium","High"))</f>
        <v>Low</v>
      </c>
      <c r="AL143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431" spans="1:38" hidden="1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tr">
        <f>IF(HR_Data[[#This Row],[Age]]&lt;30,"Under 30",IF(HR_Data[[#This Row],[Age]]&lt;=40,"30-40",IF(HR_Data[[#This Row],[Age]]&lt;=50,"41-50","50+")))</f>
        <v>30-40</v>
      </c>
      <c r="AK1431" t="str">
        <f>IF(HR_Data[[#This Row],[MonthlyIncome]]&lt;4000,"Low",IF(HR_Data[[#This Row],[MonthlyIncome]]&lt;=7000,"Medium","High"))</f>
        <v>Medium</v>
      </c>
      <c r="AL143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432" spans="1:38" hidden="1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tr">
        <f>IF(HR_Data[[#This Row],[Age]]&lt;30,"Under 30",IF(HR_Data[[#This Row],[Age]]&lt;=40,"30-40",IF(HR_Data[[#This Row],[Age]]&lt;=50,"41-50","50+")))</f>
        <v>30-40</v>
      </c>
      <c r="AK1432" t="str">
        <f>IF(HR_Data[[#This Row],[MonthlyIncome]]&lt;4000,"Low",IF(HR_Data[[#This Row],[MonthlyIncome]]&lt;=7000,"Medium","High"))</f>
        <v>High</v>
      </c>
      <c r="AL1432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433" spans="1:38" hidden="1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tr">
        <f>IF(HR_Data[[#This Row],[Age]]&lt;30,"Under 30",IF(HR_Data[[#This Row],[Age]]&lt;=40,"30-40",IF(HR_Data[[#This Row],[Age]]&lt;=50,"41-50","50+")))</f>
        <v>30-40</v>
      </c>
      <c r="AK1433" t="str">
        <f>IF(HR_Data[[#This Row],[MonthlyIncome]]&lt;4000,"Low",IF(HR_Data[[#This Row],[MonthlyIncome]]&lt;=7000,"Medium","High"))</f>
        <v>High</v>
      </c>
      <c r="AL1433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434" spans="1:38" hidden="1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tr">
        <f>IF(HR_Data[[#This Row],[Age]]&lt;30,"Under 30",IF(HR_Data[[#This Row],[Age]]&lt;=40,"30-40",IF(HR_Data[[#This Row],[Age]]&lt;=50,"41-50","50+")))</f>
        <v>30-40</v>
      </c>
      <c r="AK1434" t="str">
        <f>IF(HR_Data[[#This Row],[MonthlyIncome]]&lt;4000,"Low",IF(HR_Data[[#This Row],[MonthlyIncome]]&lt;=7000,"Medium","High"))</f>
        <v>High</v>
      </c>
      <c r="AL1434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435" spans="1:38" hidden="1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tr">
        <f>IF(HR_Data[[#This Row],[Age]]&lt;30,"Under 30",IF(HR_Data[[#This Row],[Age]]&lt;=40,"30-40",IF(HR_Data[[#This Row],[Age]]&lt;=50,"41-50","50+")))</f>
        <v>Under 30</v>
      </c>
      <c r="AK1435" t="str">
        <f>IF(HR_Data[[#This Row],[MonthlyIncome]]&lt;4000,"Low",IF(HR_Data[[#This Row],[MonthlyIncome]]&lt;=7000,"Medium","High"))</f>
        <v>Medium</v>
      </c>
      <c r="AL1435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436" spans="1:38" hidden="1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tr">
        <f>IF(HR_Data[[#This Row],[Age]]&lt;30,"Under 30",IF(HR_Data[[#This Row],[Age]]&lt;=40,"30-40",IF(HR_Data[[#This Row],[Age]]&lt;=50,"41-50","50+")))</f>
        <v>50+</v>
      </c>
      <c r="AK1436" t="str">
        <f>IF(HR_Data[[#This Row],[MonthlyIncome]]&lt;4000,"Low",IF(HR_Data[[#This Row],[MonthlyIncome]]&lt;=7000,"Medium","High"))</f>
        <v>Low</v>
      </c>
      <c r="AL143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437" spans="1:38" hidden="1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tr">
        <f>IF(HR_Data[[#This Row],[Age]]&lt;30,"Under 30",IF(HR_Data[[#This Row],[Age]]&lt;=40,"30-40",IF(HR_Data[[#This Row],[Age]]&lt;=50,"41-50","50+")))</f>
        <v>41-50</v>
      </c>
      <c r="AK1437" t="str">
        <f>IF(HR_Data[[#This Row],[MonthlyIncome]]&lt;4000,"Low",IF(HR_Data[[#This Row],[MonthlyIncome]]&lt;=7000,"Medium","High"))</f>
        <v>Low</v>
      </c>
      <c r="AL143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438" spans="1:38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tr">
        <f>IF(HR_Data[[#This Row],[Age]]&lt;30,"Under 30",IF(HR_Data[[#This Row],[Age]]&lt;=40,"30-40",IF(HR_Data[[#This Row],[Age]]&lt;=50,"41-50","50+")))</f>
        <v>Under 30</v>
      </c>
      <c r="AK1438" t="str">
        <f>IF(HR_Data[[#This Row],[MonthlyIncome]]&lt;4000,"Low",IF(HR_Data[[#This Row],[MonthlyIncome]]&lt;=7000,"Medium","High"))</f>
        <v>Low</v>
      </c>
      <c r="AL1438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439" spans="1:38" hidden="1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tr">
        <f>IF(HR_Data[[#This Row],[Age]]&lt;30,"Under 30",IF(HR_Data[[#This Row],[Age]]&lt;=40,"30-40",IF(HR_Data[[#This Row],[Age]]&lt;=50,"41-50","50+")))</f>
        <v>30-40</v>
      </c>
      <c r="AK1439" t="str">
        <f>IF(HR_Data[[#This Row],[MonthlyIncome]]&lt;4000,"Low",IF(HR_Data[[#This Row],[MonthlyIncome]]&lt;=7000,"Medium","High"))</f>
        <v>High</v>
      </c>
      <c r="AL1439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440" spans="1:38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tr">
        <f>IF(HR_Data[[#This Row],[Age]]&lt;30,"Under 30",IF(HR_Data[[#This Row],[Age]]&lt;=40,"30-40",IF(HR_Data[[#This Row],[Age]]&lt;=50,"41-50","50+")))</f>
        <v>Under 30</v>
      </c>
      <c r="AK1440" t="str">
        <f>IF(HR_Data[[#This Row],[MonthlyIncome]]&lt;4000,"Low",IF(HR_Data[[#This Row],[MonthlyIncome]]&lt;=7000,"Medium","High"))</f>
        <v>Low</v>
      </c>
      <c r="AL1440" t="str">
        <f>IF(HR_Data[[#This Row],[YearsAtCompany]]&lt;2,"&lt;2 Years",IF(HR_Data[[#This Row],[YearsAtCompany]]&lt;=5,"2-5 Years",IF(HR_Data[[#This Row],[YearsAtCompany]]&lt;=10,"6-10 Years","10+ Years")))</f>
        <v>&lt;2 Years</v>
      </c>
    </row>
    <row r="1441" spans="1:38" hidden="1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tr">
        <f>IF(HR_Data[[#This Row],[Age]]&lt;30,"Under 30",IF(HR_Data[[#This Row],[Age]]&lt;=40,"30-40",IF(HR_Data[[#This Row],[Age]]&lt;=50,"41-50","50+")))</f>
        <v>30-40</v>
      </c>
      <c r="AK1441" t="str">
        <f>IF(HR_Data[[#This Row],[MonthlyIncome]]&lt;4000,"Low",IF(HR_Data[[#This Row],[MonthlyIncome]]&lt;=7000,"Medium","High"))</f>
        <v>High</v>
      </c>
      <c r="AL1441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442" spans="1:38" hidden="1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tr">
        <f>IF(HR_Data[[#This Row],[Age]]&lt;30,"Under 30",IF(HR_Data[[#This Row],[Age]]&lt;=40,"30-40",IF(HR_Data[[#This Row],[Age]]&lt;=50,"41-50","50+")))</f>
        <v>30-40</v>
      </c>
      <c r="AK1442" t="str">
        <f>IF(HR_Data[[#This Row],[MonthlyIncome]]&lt;4000,"Low",IF(HR_Data[[#This Row],[MonthlyIncome]]&lt;=7000,"Medium","High"))</f>
        <v>Medium</v>
      </c>
      <c r="AL144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443" spans="1:38" hidden="1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tr">
        <f>IF(HR_Data[[#This Row],[Age]]&lt;30,"Under 30",IF(HR_Data[[#This Row],[Age]]&lt;=40,"30-40",IF(HR_Data[[#This Row],[Age]]&lt;=50,"41-50","50+")))</f>
        <v>50+</v>
      </c>
      <c r="AK1443" t="str">
        <f>IF(HR_Data[[#This Row],[MonthlyIncome]]&lt;4000,"Low",IF(HR_Data[[#This Row],[MonthlyIncome]]&lt;=7000,"Medium","High"))</f>
        <v>Medium</v>
      </c>
      <c r="AL1443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444" spans="1:38" hidden="1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tr">
        <f>IF(HR_Data[[#This Row],[Age]]&lt;30,"Under 30",IF(HR_Data[[#This Row],[Age]]&lt;=40,"30-40",IF(HR_Data[[#This Row],[Age]]&lt;=50,"41-50","50+")))</f>
        <v>Under 30</v>
      </c>
      <c r="AK1444" t="str">
        <f>IF(HR_Data[[#This Row],[MonthlyIncome]]&lt;4000,"Low",IF(HR_Data[[#This Row],[MonthlyIncome]]&lt;=7000,"Medium","High"))</f>
        <v>Medium</v>
      </c>
      <c r="AL1444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445" spans="1:38" hidden="1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tr">
        <f>IF(HR_Data[[#This Row],[Age]]&lt;30,"Under 30",IF(HR_Data[[#This Row],[Age]]&lt;=40,"30-40",IF(HR_Data[[#This Row],[Age]]&lt;=50,"41-50","50+")))</f>
        <v>41-50</v>
      </c>
      <c r="AK1445" t="str">
        <f>IF(HR_Data[[#This Row],[MonthlyIncome]]&lt;4000,"Low",IF(HR_Data[[#This Row],[MonthlyIncome]]&lt;=7000,"Medium","High"))</f>
        <v>High</v>
      </c>
      <c r="AL1445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446" spans="1:38" hidden="1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tr">
        <f>IF(HR_Data[[#This Row],[Age]]&lt;30,"Under 30",IF(HR_Data[[#This Row],[Age]]&lt;=40,"30-40",IF(HR_Data[[#This Row],[Age]]&lt;=50,"41-50","50+")))</f>
        <v>50+</v>
      </c>
      <c r="AK1446" t="str">
        <f>IF(HR_Data[[#This Row],[MonthlyIncome]]&lt;4000,"Low",IF(HR_Data[[#This Row],[MonthlyIncome]]&lt;=7000,"Medium","High"))</f>
        <v>Low</v>
      </c>
      <c r="AL1446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447" spans="1:38" hidden="1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tr">
        <f>IF(HR_Data[[#This Row],[Age]]&lt;30,"Under 30",IF(HR_Data[[#This Row],[Age]]&lt;=40,"30-40",IF(HR_Data[[#This Row],[Age]]&lt;=50,"41-50","50+")))</f>
        <v>41-50</v>
      </c>
      <c r="AK1447" t="str">
        <f>IF(HR_Data[[#This Row],[MonthlyIncome]]&lt;4000,"Low",IF(HR_Data[[#This Row],[MonthlyIncome]]&lt;=7000,"Medium","High"))</f>
        <v>High</v>
      </c>
      <c r="AL1447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448" spans="1:38" hidden="1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tr">
        <f>IF(HR_Data[[#This Row],[Age]]&lt;30,"Under 30",IF(HR_Data[[#This Row],[Age]]&lt;=40,"30-40",IF(HR_Data[[#This Row],[Age]]&lt;=50,"41-50","50+")))</f>
        <v>30-40</v>
      </c>
      <c r="AK1448" t="str">
        <f>IF(HR_Data[[#This Row],[MonthlyIncome]]&lt;4000,"Low",IF(HR_Data[[#This Row],[MonthlyIncome]]&lt;=7000,"Medium","High"))</f>
        <v>Medium</v>
      </c>
      <c r="AL144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449" spans="1:38" hidden="1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tr">
        <f>IF(HR_Data[[#This Row],[Age]]&lt;30,"Under 30",IF(HR_Data[[#This Row],[Age]]&lt;=40,"30-40",IF(HR_Data[[#This Row],[Age]]&lt;=50,"41-50","50+")))</f>
        <v>30-40</v>
      </c>
      <c r="AK1449" t="str">
        <f>IF(HR_Data[[#This Row],[MonthlyIncome]]&lt;4000,"Low",IF(HR_Data[[#This Row],[MonthlyIncome]]&lt;=7000,"Medium","High"))</f>
        <v>Medium</v>
      </c>
      <c r="AL1449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450" spans="1:38" hidden="1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tr">
        <f>IF(HR_Data[[#This Row],[Age]]&lt;30,"Under 30",IF(HR_Data[[#This Row],[Age]]&lt;=40,"30-40",IF(HR_Data[[#This Row],[Age]]&lt;=50,"41-50","50+")))</f>
        <v>41-50</v>
      </c>
      <c r="AK1450" t="str">
        <f>IF(HR_Data[[#This Row],[MonthlyIncome]]&lt;4000,"Low",IF(HR_Data[[#This Row],[MonthlyIncome]]&lt;=7000,"Medium","High"))</f>
        <v>High</v>
      </c>
      <c r="AL145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451" spans="1:38" hidden="1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tr">
        <f>IF(HR_Data[[#This Row],[Age]]&lt;30,"Under 30",IF(HR_Data[[#This Row],[Age]]&lt;=40,"30-40",IF(HR_Data[[#This Row],[Age]]&lt;=50,"41-50","50+")))</f>
        <v>30-40</v>
      </c>
      <c r="AK1451" t="str">
        <f>IF(HR_Data[[#This Row],[MonthlyIncome]]&lt;4000,"Low",IF(HR_Data[[#This Row],[MonthlyIncome]]&lt;=7000,"Medium","High"))</f>
        <v>Low</v>
      </c>
      <c r="AL145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452" spans="1:38" hidden="1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tr">
        <f>IF(HR_Data[[#This Row],[Age]]&lt;30,"Under 30",IF(HR_Data[[#This Row],[Age]]&lt;=40,"30-40",IF(HR_Data[[#This Row],[Age]]&lt;=50,"41-50","50+")))</f>
        <v>30-40</v>
      </c>
      <c r="AK1452" t="str">
        <f>IF(HR_Data[[#This Row],[MonthlyIncome]]&lt;4000,"Low",IF(HR_Data[[#This Row],[MonthlyIncome]]&lt;=7000,"Medium","High"))</f>
        <v>High</v>
      </c>
      <c r="AL1452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453" spans="1:38" hidden="1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tr">
        <f>IF(HR_Data[[#This Row],[Age]]&lt;30,"Under 30",IF(HR_Data[[#This Row],[Age]]&lt;=40,"30-40",IF(HR_Data[[#This Row],[Age]]&lt;=50,"41-50","50+")))</f>
        <v>30-40</v>
      </c>
      <c r="AK1453" t="str">
        <f>IF(HR_Data[[#This Row],[MonthlyIncome]]&lt;4000,"Low",IF(HR_Data[[#This Row],[MonthlyIncome]]&lt;=7000,"Medium","High"))</f>
        <v>Medium</v>
      </c>
      <c r="AL1453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454" spans="1:38" hidden="1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tr">
        <f>IF(HR_Data[[#This Row],[Age]]&lt;30,"Under 30",IF(HR_Data[[#This Row],[Age]]&lt;=40,"30-40",IF(HR_Data[[#This Row],[Age]]&lt;=50,"41-50","50+")))</f>
        <v>41-50</v>
      </c>
      <c r="AK1454" t="str">
        <f>IF(HR_Data[[#This Row],[MonthlyIncome]]&lt;4000,"Low",IF(HR_Data[[#This Row],[MonthlyIncome]]&lt;=7000,"Medium","High"))</f>
        <v>Medium</v>
      </c>
      <c r="AL1454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455" spans="1:38" hidden="1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tr">
        <f>IF(HR_Data[[#This Row],[Age]]&lt;30,"Under 30",IF(HR_Data[[#This Row],[Age]]&lt;=40,"30-40",IF(HR_Data[[#This Row],[Age]]&lt;=50,"41-50","50+")))</f>
        <v>30-40</v>
      </c>
      <c r="AK1455" t="str">
        <f>IF(HR_Data[[#This Row],[MonthlyIncome]]&lt;4000,"Low",IF(HR_Data[[#This Row],[MonthlyIncome]]&lt;=7000,"Medium","High"))</f>
        <v>Medium</v>
      </c>
      <c r="AL145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456" spans="1:38" hidden="1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tr">
        <f>IF(HR_Data[[#This Row],[Age]]&lt;30,"Under 30",IF(HR_Data[[#This Row],[Age]]&lt;=40,"30-40",IF(HR_Data[[#This Row],[Age]]&lt;=50,"41-50","50+")))</f>
        <v>41-50</v>
      </c>
      <c r="AK1456" t="str">
        <f>IF(HR_Data[[#This Row],[MonthlyIncome]]&lt;4000,"Low",IF(HR_Data[[#This Row],[MonthlyIncome]]&lt;=7000,"Medium","High"))</f>
        <v>Medium</v>
      </c>
      <c r="AL145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457" spans="1:38" hidden="1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tr">
        <f>IF(HR_Data[[#This Row],[Age]]&lt;30,"Under 30",IF(HR_Data[[#This Row],[Age]]&lt;=40,"30-40",IF(HR_Data[[#This Row],[Age]]&lt;=50,"41-50","50+")))</f>
        <v>30-40</v>
      </c>
      <c r="AK1457" t="str">
        <f>IF(HR_Data[[#This Row],[MonthlyIncome]]&lt;4000,"Low",IF(HR_Data[[#This Row],[MonthlyIncome]]&lt;=7000,"Medium","High"))</f>
        <v>Low</v>
      </c>
      <c r="AL145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458" spans="1:38" hidden="1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tr">
        <f>IF(HR_Data[[#This Row],[Age]]&lt;30,"Under 30",IF(HR_Data[[#This Row],[Age]]&lt;=40,"30-40",IF(HR_Data[[#This Row],[Age]]&lt;=50,"41-50","50+")))</f>
        <v>30-40</v>
      </c>
      <c r="AK1458" t="str">
        <f>IF(HR_Data[[#This Row],[MonthlyIncome]]&lt;4000,"Low",IF(HR_Data[[#This Row],[MonthlyIncome]]&lt;=7000,"Medium","High"))</f>
        <v>Medium</v>
      </c>
      <c r="AL145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459" spans="1:38" hidden="1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tr">
        <f>IF(HR_Data[[#This Row],[Age]]&lt;30,"Under 30",IF(HR_Data[[#This Row],[Age]]&lt;=40,"30-40",IF(HR_Data[[#This Row],[Age]]&lt;=50,"41-50","50+")))</f>
        <v>30-40</v>
      </c>
      <c r="AK1459" t="str">
        <f>IF(HR_Data[[#This Row],[MonthlyIncome]]&lt;4000,"Low",IF(HR_Data[[#This Row],[MonthlyIncome]]&lt;=7000,"Medium","High"))</f>
        <v>Low</v>
      </c>
      <c r="AL1459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460" spans="1:38" hidden="1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tr">
        <f>IF(HR_Data[[#This Row],[Age]]&lt;30,"Under 30",IF(HR_Data[[#This Row],[Age]]&lt;=40,"30-40",IF(HR_Data[[#This Row],[Age]]&lt;=50,"41-50","50+")))</f>
        <v>30-40</v>
      </c>
      <c r="AK1460" t="str">
        <f>IF(HR_Data[[#This Row],[MonthlyIncome]]&lt;4000,"Low",IF(HR_Data[[#This Row],[MonthlyIncome]]&lt;=7000,"Medium","High"))</f>
        <v>Low</v>
      </c>
      <c r="AL1460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461" spans="1:38" hidden="1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tr">
        <f>IF(HR_Data[[#This Row],[Age]]&lt;30,"Under 30",IF(HR_Data[[#This Row],[Age]]&lt;=40,"30-40",IF(HR_Data[[#This Row],[Age]]&lt;=50,"41-50","50+")))</f>
        <v>Under 30</v>
      </c>
      <c r="AK1461" t="str">
        <f>IF(HR_Data[[#This Row],[MonthlyIncome]]&lt;4000,"Low",IF(HR_Data[[#This Row],[MonthlyIncome]]&lt;=7000,"Medium","High"))</f>
        <v>Medium</v>
      </c>
      <c r="AL1461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462" spans="1:38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tr">
        <f>IF(HR_Data[[#This Row],[Age]]&lt;30,"Under 30",IF(HR_Data[[#This Row],[Age]]&lt;=40,"30-40",IF(HR_Data[[#This Row],[Age]]&lt;=50,"41-50","50+")))</f>
        <v>Under 30</v>
      </c>
      <c r="AK1462" t="str">
        <f>IF(HR_Data[[#This Row],[MonthlyIncome]]&lt;4000,"Low",IF(HR_Data[[#This Row],[MonthlyIncome]]&lt;=7000,"Medium","High"))</f>
        <v>Low</v>
      </c>
      <c r="AL1462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463" spans="1:38" hidden="1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tr">
        <f>IF(HR_Data[[#This Row],[Age]]&lt;30,"Under 30",IF(HR_Data[[#This Row],[Age]]&lt;=40,"30-40",IF(HR_Data[[#This Row],[Age]]&lt;=50,"41-50","50+")))</f>
        <v>41-50</v>
      </c>
      <c r="AK1463" t="str">
        <f>IF(HR_Data[[#This Row],[MonthlyIncome]]&lt;4000,"Low",IF(HR_Data[[#This Row],[MonthlyIncome]]&lt;=7000,"Medium","High"))</f>
        <v>High</v>
      </c>
      <c r="AL1463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464" spans="1:38" hidden="1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tr">
        <f>IF(HR_Data[[#This Row],[Age]]&lt;30,"Under 30",IF(HR_Data[[#This Row],[Age]]&lt;=40,"30-40",IF(HR_Data[[#This Row],[Age]]&lt;=50,"41-50","50+")))</f>
        <v>30-40</v>
      </c>
      <c r="AK1464" t="str">
        <f>IF(HR_Data[[#This Row],[MonthlyIncome]]&lt;4000,"Low",IF(HR_Data[[#This Row],[MonthlyIncome]]&lt;=7000,"Medium","High"))</f>
        <v>High</v>
      </c>
      <c r="AL1464" t="str">
        <f>IF(HR_Data[[#This Row],[YearsAtCompany]]&lt;2,"&lt;2 Years",IF(HR_Data[[#This Row],[YearsAtCompany]]&lt;=5,"2-5 Years",IF(HR_Data[[#This Row],[YearsAtCompany]]&lt;=10,"6-10 Years","10+ Years")))</f>
        <v>10+ Years</v>
      </c>
    </row>
    <row r="1465" spans="1:38" hidden="1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tr">
        <f>IF(HR_Data[[#This Row],[Age]]&lt;30,"Under 30",IF(HR_Data[[#This Row],[Age]]&lt;=40,"30-40",IF(HR_Data[[#This Row],[Age]]&lt;=50,"41-50","50+")))</f>
        <v>30-40</v>
      </c>
      <c r="AK1465" t="str">
        <f>IF(HR_Data[[#This Row],[MonthlyIncome]]&lt;4000,"Low",IF(HR_Data[[#This Row],[MonthlyIncome]]&lt;=7000,"Medium","High"))</f>
        <v>High</v>
      </c>
      <c r="AL1465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466" spans="1:38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tr">
        <f>IF(HR_Data[[#This Row],[Age]]&lt;30,"Under 30",IF(HR_Data[[#This Row],[Age]]&lt;=40,"30-40",IF(HR_Data[[#This Row],[Age]]&lt;=50,"41-50","50+")))</f>
        <v>Under 30</v>
      </c>
      <c r="AK1466" t="str">
        <f>IF(HR_Data[[#This Row],[MonthlyIncome]]&lt;4000,"Low",IF(HR_Data[[#This Row],[MonthlyIncome]]&lt;=7000,"Medium","High"))</f>
        <v>Low</v>
      </c>
      <c r="AL1466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467" spans="1:38" hidden="1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tr">
        <f>IF(HR_Data[[#This Row],[Age]]&lt;30,"Under 30",IF(HR_Data[[#This Row],[Age]]&lt;=40,"30-40",IF(HR_Data[[#This Row],[Age]]&lt;=50,"41-50","50+")))</f>
        <v>30-40</v>
      </c>
      <c r="AK1467" t="str">
        <f>IF(HR_Data[[#This Row],[MonthlyIncome]]&lt;4000,"Low",IF(HR_Data[[#This Row],[MonthlyIncome]]&lt;=7000,"Medium","High"))</f>
        <v>Low</v>
      </c>
      <c r="AL1467" t="str">
        <f>IF(HR_Data[[#This Row],[YearsAtCompany]]&lt;2,"&lt;2 Years",IF(HR_Data[[#This Row],[YearsAtCompany]]&lt;=5,"2-5 Years",IF(HR_Data[[#This Row],[YearsAtCompany]]&lt;=10,"6-10 Years","10+ Years")))</f>
        <v>2-5 Years</v>
      </c>
    </row>
    <row r="1468" spans="1:38" hidden="1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tr">
        <f>IF(HR_Data[[#This Row],[Age]]&lt;30,"Under 30",IF(HR_Data[[#This Row],[Age]]&lt;=40,"30-40",IF(HR_Data[[#This Row],[Age]]&lt;=50,"41-50","50+")))</f>
        <v>30-40</v>
      </c>
      <c r="AK1468" t="str">
        <f>IF(HR_Data[[#This Row],[MonthlyIncome]]&lt;4000,"Low",IF(HR_Data[[#This Row],[MonthlyIncome]]&lt;=7000,"Medium","High"))</f>
        <v>High</v>
      </c>
      <c r="AL1468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469" spans="1:38" hidden="1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tr">
        <f>IF(HR_Data[[#This Row],[Age]]&lt;30,"Under 30",IF(HR_Data[[#This Row],[Age]]&lt;=40,"30-40",IF(HR_Data[[#This Row],[Age]]&lt;=50,"41-50","50+")))</f>
        <v>Under 30</v>
      </c>
      <c r="AK1469" t="str">
        <f>IF(HR_Data[[#This Row],[MonthlyIncome]]&lt;4000,"Low",IF(HR_Data[[#This Row],[MonthlyIncome]]&lt;=7000,"Medium","High"))</f>
        <v>Medium</v>
      </c>
      <c r="AL1469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470" spans="1:38" hidden="1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tr">
        <f>IF(HR_Data[[#This Row],[Age]]&lt;30,"Under 30",IF(HR_Data[[#This Row],[Age]]&lt;=40,"30-40",IF(HR_Data[[#This Row],[Age]]&lt;=50,"41-50","50+")))</f>
        <v>41-50</v>
      </c>
      <c r="AK1470" t="str">
        <f>IF(HR_Data[[#This Row],[MonthlyIncome]]&lt;4000,"Low",IF(HR_Data[[#This Row],[MonthlyIncome]]&lt;=7000,"Medium","High"))</f>
        <v>Medium</v>
      </c>
      <c r="AL1470" t="str">
        <f>IF(HR_Data[[#This Row],[YearsAtCompany]]&lt;2,"&lt;2 Years",IF(HR_Data[[#This Row],[YearsAtCompany]]&lt;=5,"2-5 Years",IF(HR_Data[[#This Row],[YearsAtCompany]]&lt;=10,"6-10 Years","10+ Years")))</f>
        <v>6-10 Years</v>
      </c>
    </row>
    <row r="1471" spans="1:38" hidden="1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tr">
        <f>IF(HR_Data[[#This Row],[Age]]&lt;30,"Under 30",IF(HR_Data[[#This Row],[Age]]&lt;=40,"30-40",IF(HR_Data[[#This Row],[Age]]&lt;=50,"41-50","50+")))</f>
        <v>30-40</v>
      </c>
      <c r="AK1471" t="str">
        <f>IF(HR_Data[[#This Row],[MonthlyIncome]]&lt;4000,"Low",IF(HR_Data[[#This Row],[MonthlyIncome]]&lt;=7000,"Medium","High"))</f>
        <v>Medium</v>
      </c>
      <c r="AL1471" t="str">
        <f>IF(HR_Data[[#This Row],[YearsAtCompany]]&lt;2,"&lt;2 Years",IF(HR_Data[[#This Row],[YearsAtCompany]]&lt;=5,"2-5 Years",IF(HR_Data[[#This Row],[YearsAtCompany]]&lt;=10,"6-10 Years","10+ Years")))</f>
        <v>2-5 Years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DCFD62-6B0A-400A-A1C1-C03D51C417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Attrition By Department</vt:lpstr>
      <vt:lpstr>Attrition By Job Role</vt:lpstr>
      <vt:lpstr>Attrition By Age Group</vt:lpstr>
      <vt:lpstr>Attrition By Income Group</vt:lpstr>
      <vt:lpstr>Attrition vs Overtime</vt:lpstr>
      <vt:lpstr>Attrition vs Job Satisfication</vt:lpstr>
      <vt:lpstr>Attrition vs Work-Life Balance</vt:lpstr>
      <vt:lpstr>Attrition Vs Years at Company</vt:lpstr>
      <vt:lpstr>Age + Income</vt:lpstr>
      <vt:lpstr>Age+Tenure</vt:lpstr>
      <vt:lpstr>Income + Overtime</vt:lpstr>
      <vt:lpstr>Income + WLB</vt:lpstr>
      <vt:lpstr>HR_Data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2026-04-19T09:53:15Z</dcterms:created>
  <dcterms:modified xsi:type="dcterms:W3CDTF">2026-04-22T01:26:35Z</dcterms:modified>
</cp:coreProperties>
</file>